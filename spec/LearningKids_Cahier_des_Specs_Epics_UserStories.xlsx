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ésentation" sheetId="1" state="visible" r:id="rId3"/>
    <sheet name="Epics" sheetId="2" state="visible" r:id="rId4"/>
    <sheet name="User Stori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<sst xmlns="http://schemas.openxmlformats.org/spreadsheetml/2006/main" count="506" uniqueCount="297">
  <si>
    <t xml:space="preserve">LearningKids — Cahier des specs : Epics &amp; User Stories</t>
  </si>
  <si>
    <t xml:space="preserve">Nom du produit</t>
  </si>
  <si>
    <t xml:space="preserve">LearningKids</t>
  </si>
  <si>
    <t xml:space="preserve">Plateforme</t>
  </si>
  <si>
    <t xml:space="preserve">Application mobile Flutter (iOS / Android)</t>
  </si>
  <si>
    <t xml:space="preserve">Type de produit</t>
  </si>
  <si>
    <t xml:space="preserve">App complète d'apprentissage de la programmation avec parcours guidés</t>
  </si>
  <si>
    <t xml:space="preserve">Langages / technos enseignés</t>
  </si>
  <si>
    <t xml:space="preserve">Python, JavaScript, HTML, CSS, SQL, React, Node.js, Express, TypeScript</t>
  </si>
  <si>
    <t xml:space="preserve">Date du document</t>
  </si>
  <si>
    <t xml:space="preserve">14/09/2026</t>
  </si>
  <si>
    <t xml:space="preserve">Auteur</t>
  </si>
  <si>
    <t xml:space="preserve">nawres@euroconstat.com</t>
  </si>
  <si>
    <t xml:space="preserve">Description du produit</t>
  </si>
  <si>
    <t xml:space="preserve">LearningKids est une application mobile de programmation avec parcours guidés, permettant d'apprendre Python, JavaScript, HTML, CSS, SQL et d'autres langages. Elle combine des leçons interactives courtes, un IDE mobile intégré (écrire / exécuter / modifier du code en Python, JavaScript et HTML), un assistant IA (expliquer, déboguer, améliorer le code tout en laissant l'utilisateur garder le contrôle), la création de projets pour se constituer un portfolio, ainsi qu'un système de motivation (streaks, badges, certificats, classements) pour suivre sa progression et rester motivé. L'objectif est de faire passer l'apprenant du niveau débutant à développeur, via des parcours Front-End, Full-Stack, Python et Backend renforcés par l'IA.</t>
  </si>
  <si>
    <t xml:space="preserve">Personas principaux</t>
  </si>
  <si>
    <t xml:space="preserve">Apprenant (enfant / ado)</t>
  </si>
  <si>
    <t xml:space="preserve">8-16 ans, débutant à intermédiaire, apprend à coder pas à pas depuis son mobile.</t>
  </si>
  <si>
    <t xml:space="preserve">Parent / tuteur</t>
  </si>
  <si>
    <t xml:space="preserve">Supervise l'activité, la sécurité et le temps d'écran de l'apprenant.</t>
  </si>
  <si>
    <t xml:space="preserve">Administrateur de contenu</t>
  </si>
  <si>
    <t xml:space="preserve">Crée, publie et modère le contenu pédagogique et les projets partagés.</t>
  </si>
  <si>
    <t xml:space="preserve">Synthèse du backlog</t>
  </si>
  <si>
    <t xml:space="preserve">Indicateur</t>
  </si>
  <si>
    <t xml:space="preserve">Valeur</t>
  </si>
  <si>
    <t xml:space="preserve">Nombre d'Epics</t>
  </si>
  <si>
    <t xml:space="preserve">Nombre de User Stories</t>
  </si>
  <si>
    <t xml:space="preserve">User Stories - priorité Must</t>
  </si>
  <si>
    <t xml:space="preserve">User Stories - priorité Should</t>
  </si>
  <si>
    <t xml:space="preserve">User Stories - priorité Could</t>
  </si>
  <si>
    <t xml:space="preserve">Total Story Points</t>
  </si>
  <si>
    <t xml:space="preserve">ID Epic</t>
  </si>
  <si>
    <t xml:space="preserve">Nom de l'Epic</t>
  </si>
  <si>
    <t xml:space="preserve">Description</t>
  </si>
  <si>
    <t xml:space="preserve">Objectif métier</t>
  </si>
  <si>
    <t xml:space="preserve">Priorité</t>
  </si>
  <si>
    <t xml:space="preserve">EP01</t>
  </si>
  <si>
    <t xml:space="preserve">Onboarding &amp; Gestion de compte</t>
  </si>
  <si>
    <t xml:space="preserve">Inscription, connexion, personnalisation du profil et gestion du compte utilisateur.</t>
  </si>
  <si>
    <t xml:space="preserve">Faciliter l'arrivée d'un nouvel utilisateur et le rattachement de sa progression à un compte.</t>
  </si>
  <si>
    <t xml:space="preserve">Must</t>
  </si>
  <si>
    <t xml:space="preserve">EP02</t>
  </si>
  <si>
    <t xml:space="preserve">Contrôle parental &amp; Sécurité enfant</t>
  </si>
  <si>
    <t xml:space="preserve">Supervision parentale, limites de temps d'écran, conformité à la protection des mineurs.</t>
  </si>
  <si>
    <t xml:space="preserve">Garantir un usage sûr, encadré et conforme pour un public d'enfants/ados.</t>
  </si>
  <si>
    <t xml:space="preserve">EP03</t>
  </si>
  <si>
    <t xml:space="preserve">Parcours d'apprentissage structurés</t>
  </si>
  <si>
    <t xml:space="preserve">Parcours Front-End, Full-Stack, Python et Backend renforcés par l'IA, organisés en modules progressifs.</t>
  </si>
  <si>
    <t xml:space="preserve">Faire progresser l'apprenant du débutant au développeur via une trajectoire claire.</t>
  </si>
  <si>
    <t xml:space="preserve">EP04</t>
  </si>
  <si>
    <t xml:space="preserve">Leçons interactives &amp; Contenu pédagogique</t>
  </si>
  <si>
    <t xml:space="preserve">Leçons courtes, quiz, exercices pratiques et feedback pédagogique immédiat.</t>
  </si>
  <si>
    <t xml:space="preserve">Construire des bases solides en Python, JavaScript, HTML, CSS, SQL et plus.</t>
  </si>
  <si>
    <t xml:space="preserve">EP05</t>
  </si>
  <si>
    <t xml:space="preserve">IDE mobile intégré</t>
  </si>
  <si>
    <t xml:space="preserve">Éditeur de code mobile permettant d'écrire, d'exécuter et de modifier du code directement dans l'app.</t>
  </si>
  <si>
    <t xml:space="preserve">Permettre de coder où que l'on soit, sans installation d'outils externes.</t>
  </si>
  <si>
    <t xml:space="preserve">EP06</t>
  </si>
  <si>
    <t xml:space="preserve">Assistant IA pour le code</t>
  </si>
  <si>
    <t xml:space="preserve">Assistant IA capable d'expliquer, déboguer et suggérer des améliorations de code, sous contrôle de l'utilisateur.</t>
  </si>
  <si>
    <t xml:space="preserve">Apprendre le développement moderne assisté par l'IA sans perdre la main sur son code.</t>
  </si>
  <si>
    <t xml:space="preserve">EP07</t>
  </si>
  <si>
    <t xml:space="preserve">Projets &amp; Portfolio</t>
  </si>
  <si>
    <t xml:space="preserve">Création de projets (apps, sites, outils) à partir de modèles guidés et publication dans un portfolio.</t>
  </si>
  <si>
    <t xml:space="preserve">Transformer les compétences acquises en réalisations concrètes et présentables.</t>
  </si>
  <si>
    <t xml:space="preserve">Should</t>
  </si>
  <si>
    <t xml:space="preserve">EP08</t>
  </si>
  <si>
    <t xml:space="preserve">Gamification &amp; Motivation</t>
  </si>
  <si>
    <t xml:space="preserve">Streaks, badges, certificats, points d'expérience et classements.</t>
  </si>
  <si>
    <t xml:space="preserve">Maintenir la motivation et la régularité de l'apprentissage sur la durée.</t>
  </si>
  <si>
    <t xml:space="preserve">EP09</t>
  </si>
  <si>
    <t xml:space="preserve">Suivi de progression &amp; Tableau de bord</t>
  </si>
  <si>
    <t xml:space="preserve">Indicateurs de progression, points faibles détectés, résumés de progression.</t>
  </si>
  <si>
    <t xml:space="preserve">Donner de la visibilité à l'apprenant (et au parent) sur l'évolution des compétences.</t>
  </si>
  <si>
    <t xml:space="preserve">EP10</t>
  </si>
  <si>
    <t xml:space="preserve">Collaboration &amp; Outils développeurs modernes</t>
  </si>
  <si>
    <t xml:space="preserve">Bases de Git, workflows professionnels (revue de code, tests, CI/CD), défis collaboratifs.</t>
  </si>
  <si>
    <t xml:space="preserve">Préparer l'apprenant aux outils et pratiques utilisés par les développeurs actuels.</t>
  </si>
  <si>
    <t xml:space="preserve">Could</t>
  </si>
  <si>
    <t xml:space="preserve">EP11</t>
  </si>
  <si>
    <t xml:space="preserve">Notifications &amp; Rappels</t>
  </si>
  <si>
    <t xml:space="preserve">Rappels quotidiens, notifications de récompenses, gestion des préférences.</t>
  </si>
  <si>
    <t xml:space="preserve">Encourager la régularité et informer l'utilisateur de ses réussites.</t>
  </si>
  <si>
    <t xml:space="preserve">EP12</t>
  </si>
  <si>
    <t xml:space="preserve">Administration &amp; Gestion de contenu (back-office)</t>
  </si>
  <si>
    <t xml:space="preserve">Création/publication de leçons, modération des contenus, statistiques d'usage, gestion des comptes.</t>
  </si>
  <si>
    <t xml:space="preserve">Permettre à l'équipe produit de maintenir et faire évoluer la plateforme.</t>
  </si>
  <si>
    <t xml:space="preserve">EP13</t>
  </si>
  <si>
    <t xml:space="preserve">Paramètres, Accessibilité &amp; Multi-langue</t>
  </si>
  <si>
    <t xml:space="preserve">Langue de l'application, mode sombre, options d'accessibilité.</t>
  </si>
  <si>
    <t xml:space="preserve">Rendre l'application confortable et inclusive pour tous les profils d'utilisateurs.</t>
  </si>
  <si>
    <t xml:space="preserve">ID US</t>
  </si>
  <si>
    <t xml:space="preserve">Epic</t>
  </si>
  <si>
    <t xml:space="preserve">User Story</t>
  </si>
  <si>
    <t xml:space="preserve">Critères d'acceptation</t>
  </si>
  <si>
    <t xml:space="preserve">Priorité (MoSCoW)</t>
  </si>
  <si>
    <t xml:space="preserve">Story Points</t>
  </si>
  <si>
    <t xml:space="preserve">Statut</t>
  </si>
  <si>
    <t xml:space="preserve">US01</t>
  </si>
  <si>
    <t xml:space="preserve">En tant que nouvel utilisateur, je veux créer un compte (email, Google, Apple) afin de sauvegarder ma progression.</t>
  </si>
  <si>
    <t xml:space="preserve">Formulaire d'inscription validé ; vérification de l'email ; création automatique d'un profil par défaut.</t>
  </si>
  <si>
    <t xml:space="preserve">À faire</t>
  </si>
  <si>
    <t xml:space="preserve">US02</t>
  </si>
  <si>
    <t xml:space="preserve">En tant qu'utilisateur, je veux me connecter avec mon compte existant afin de retrouver mes parcours et mon niveau.</t>
  </si>
  <si>
    <t xml:space="preserve">Connexion email/mot de passe et SSO fonctionnelles ; gestion des erreurs ; option « mot de passe oublié ».</t>
  </si>
  <si>
    <t xml:space="preserve">US03</t>
  </si>
  <si>
    <t xml:space="preserve">En tant que nouvel utilisateur, je veux passer un test de niveau afin de recevoir un parcours adapté à mes compétences.</t>
  </si>
  <si>
    <t xml:space="preserve">Questionnaire de positionnement proposé à l'inscription ; recommandation de parcours affichée à l'issue.</t>
  </si>
  <si>
    <t xml:space="preserve">US04</t>
  </si>
  <si>
    <t xml:space="preserve">En tant qu'utilisateur, je veux personnaliser mon profil (avatar, pseudo) afin de rendre l'app plus engageante.</t>
  </si>
  <si>
    <t xml:space="preserve">Écran profil éditable ; sauvegarde immédiate des modifications.</t>
  </si>
  <si>
    <t xml:space="preserve">US05</t>
  </si>
  <si>
    <t xml:space="preserve">En tant qu'utilisateur, je veux choisir mes objectifs d'apprentissage (créer un site, un jeu, une app) afin que l'app adapte ses recommandations.</t>
  </si>
  <si>
    <t xml:space="preserve">Sélection multiple d'objectifs enregistrée au profil ; influence sur le fil de recommandations.</t>
  </si>
  <si>
    <t xml:space="preserve">US06</t>
  </si>
  <si>
    <t xml:space="preserve">En tant qu'utilisateur, je veux supprimer mon compte et mes données afin de garder le contrôle de ma vie privée.</t>
  </si>
  <si>
    <t xml:space="preserve">Option de suppression dans les paramètres ; confirmation requise ; suppression effective sous le délai légal.</t>
  </si>
  <si>
    <t xml:space="preserve">US07</t>
  </si>
  <si>
    <t xml:space="preserve">En tant que parent, je veux créer un compte parent lié au compte de mon enfant afin de superviser son activité.</t>
  </si>
  <si>
    <t xml:space="preserve">Liaison parent-enfant par code ou email ; accès à une vue dédiée « Espace parent ».</t>
  </si>
  <si>
    <t xml:space="preserve">US08</t>
  </si>
  <si>
    <t xml:space="preserve">En tant que parent, je veux consulter un rapport de progression et de temps passé par mon enfant afin de suivre son apprentissage.</t>
  </si>
  <si>
    <t xml:space="preserve">Tableau de bord parent affichant temps d'utilisation, leçons terminées et badges obtenus.</t>
  </si>
  <si>
    <t xml:space="preserve">US09</t>
  </si>
  <si>
    <t xml:space="preserve">En tant que parent, je veux définir des limites de temps d'utilisation quotidien afin d'encadrer l'usage de l'app.</t>
  </si>
  <si>
    <t xml:space="preserve">Paramétrage de plages horaires/durées ; blocage automatique de l'app une fois la limite atteinte.</t>
  </si>
  <si>
    <t xml:space="preserve">US10</t>
  </si>
  <si>
    <t xml:space="preserve">En tant que parent, je veux être alerté si l'assistant IA détecte un contenu ou une interaction inappropriée afin de garantir la sécurité de mon enfant.</t>
  </si>
  <si>
    <t xml:space="preserve">Système de modération IA actif ; alerte envoyée au parent ; journal des interactions signalées consultable.</t>
  </si>
  <si>
    <t xml:space="preserve">US11</t>
  </si>
  <si>
    <t xml:space="preserve">En tant qu'enfant utilisateur, je veux une interface et un vocabulaire adaptés à mon âge afin de comprendre facilement les leçons.</t>
  </si>
  <si>
    <t xml:space="preserve">Mode « Kids UI » avec tons, animations et formulations simplifiées selon la tranche d'âge sélectionnée.</t>
  </si>
  <si>
    <t xml:space="preserve">US12</t>
  </si>
  <si>
    <t xml:space="preserve">En tant que responsable produit, je veux que l'app respecte les réglementations de protection des mineurs (RGPD/COPPA) afin d'assurer sa conformité légale.</t>
  </si>
  <si>
    <t xml:space="preserve">Consentement parental vérifiable ; minimisation des données collectées ; aucune publicité ciblée envers les mineurs.</t>
  </si>
  <si>
    <t xml:space="preserve">US13</t>
  </si>
  <si>
    <t xml:space="preserve">En tant qu'apprenant, je veux accéder à un parcours Front-End (HTML, CSS, JavaScript, React) afin de développer mes compétences web progressivement.</t>
  </si>
  <si>
    <t xml:space="preserve">Parcours avec modules ordonnés ; prérequis affichés ; progression sauvegardée automatiquement.</t>
  </si>
  <si>
    <t xml:space="preserve">US14</t>
  </si>
  <si>
    <t xml:space="preserve">En tant qu'apprenant, je veux accéder à un parcours Python afin d'apprendre les bases de la programmation.</t>
  </si>
  <si>
    <t xml:space="preserve">Modules Python du niveau débutant à avancé ; exercices pratiques associés à chaque module.</t>
  </si>
  <si>
    <t xml:space="preserve">US15</t>
  </si>
  <si>
    <t xml:space="preserve">En tant qu'apprenant, je veux accéder à un parcours Full-Stack (Node.js, Express, SQL, TypeScript) afin de savoir construire une application complète.</t>
  </si>
  <si>
    <t xml:space="preserve">Modules back-end reliés aux modules front-end ; projet final full-stack proposé en fin de parcours.</t>
  </si>
  <si>
    <t xml:space="preserve">US16</t>
  </si>
  <si>
    <t xml:space="preserve">En tant qu'apprenant, je veux accéder à un parcours Backend renforcé par l'IA afin d'apprendre les bonnes pratiques modernes de développement serveur.</t>
  </si>
  <si>
    <t xml:space="preserve">Modules sur les API, bases de données et sécurité ; intégration d'exercices assistés par IA.</t>
  </si>
  <si>
    <t xml:space="preserve">US17</t>
  </si>
  <si>
    <t xml:space="preserve">En tant qu'apprenant, je veux voir une carte visuelle de mon parcours (roadmap) afin de savoir où j'en suis et ce qu'il me reste à apprendre.</t>
  </si>
  <si>
    <t xml:space="preserve">Vue « roadmap » avec statut par module (verrouillé / en cours / terminé).</t>
  </si>
  <si>
    <t xml:space="preserve">US18</t>
  </si>
  <si>
    <t xml:space="preserve">En tant qu'apprenant, je veux pouvoir suivre plusieurs parcours en parallèle afin d'adapter mon apprentissage à mes envies.</t>
  </si>
  <si>
    <t xml:space="preserve">Sélecteur de parcours actif ; progression suivie indépendamment pour chaque parcours.</t>
  </si>
  <si>
    <t xml:space="preserve">US19</t>
  </si>
  <si>
    <t xml:space="preserve">En tant qu'apprenant, je veux que la difficulté d'un module s'adapte à mon niveau détecté afin de ne pas m'ennuyer ni être largué.</t>
  </si>
  <si>
    <t xml:space="preserve">Ajustement dynamique de la difficulté en fonction des résultats aux quiz et exercices précédents.</t>
  </si>
  <si>
    <t xml:space="preserve">US20</t>
  </si>
  <si>
    <t xml:space="preserve">En tant qu'apprenant, je veux suivre des leçons courtes (environ 5 minutes) afin d'apprendre régulièrement sans me sentir débordé.</t>
  </si>
  <si>
    <t xml:space="preserve">Leçons segmentées en unités courtes ; temps estimé affiché avant de démarrer.</t>
  </si>
  <si>
    <t xml:space="preserve">US21</t>
  </si>
  <si>
    <t xml:space="preserve">En tant qu'apprenant, je veux répondre à des quiz et exercices interactifs après chaque leçon afin de vérifier ma compréhension.</t>
  </si>
  <si>
    <t xml:space="preserve">Quiz à choix multiples et exercices de code disponibles ; correction affichée immédiatement.</t>
  </si>
  <si>
    <t xml:space="preserve">US22</t>
  </si>
  <si>
    <t xml:space="preserve">En tant qu'apprenant, je veux recevoir un feedback immédiat et explicatif sur mes réponses afin de comprendre mes erreurs.</t>
  </si>
  <si>
    <t xml:space="preserve">Message d'erreur pédagogique renvoyant à la notion concernée, pas seulement « faux ».</t>
  </si>
  <si>
    <t xml:space="preserve">US23</t>
  </si>
  <si>
    <t xml:space="preserve">En tant qu'apprenant, je veux pouvoir revoir le contenu théorique d'une leçon à tout moment afin de réviser avant un exercice.</t>
  </si>
  <si>
    <t xml:space="preserve">Accès « résumé de leçon » disponible depuis l'exercice et depuis l'historique des leçons.</t>
  </si>
  <si>
    <t xml:space="preserve">US24</t>
  </si>
  <si>
    <t xml:space="preserve">En tant qu'apprenant, je veux disposer de leçons sur SQL, HTML, CSS et d'autres langages en plus de Python/JavaScript afin d'élargir mes compétences.</t>
  </si>
  <si>
    <t xml:space="preserve">Catalogue de langages disponible, filtrable, et pouvant être enrichi facilement.</t>
  </si>
  <si>
    <t xml:space="preserve">US25</t>
  </si>
  <si>
    <t xml:space="preserve">En tant qu'apprenant, je veux pouvoir mettre en pause une leçon et la reprendre plus tard exactement où je m'étais arrêté afin de m'adapter à mon emploi du temps.</t>
  </si>
  <si>
    <t xml:space="preserve">Position dans la leçon sauvegardée ; reprise automatique au bon endroit.</t>
  </si>
  <si>
    <t xml:space="preserve">US26</t>
  </si>
  <si>
    <t xml:space="preserve">En tant qu'apprenant, je veux écrire du code Python, JavaScript ou HTML directement dans l'app afin de m'exercer sans installer d'outils externes.</t>
  </si>
  <si>
    <t xml:space="preserve">Éditeur intégré avec coloration syntaxique pour chaque langage supporté.</t>
  </si>
  <si>
    <t xml:space="preserve">US27</t>
  </si>
  <si>
    <t xml:space="preserve">En tant qu'apprenant, je veux exécuter mon code et voir le résultat instantanément afin de vérifier que mon programme fonctionne.</t>
  </si>
  <si>
    <t xml:space="preserve">Bouton « Exécuter » disponible ; sortie console ou aperçu visuel (HTML/CSS) affiché en quelques secondes.</t>
  </si>
  <si>
    <t xml:space="preserve">US28</t>
  </si>
  <si>
    <t xml:space="preserve">En tant qu'apprenant, je veux voir les messages d'erreur de mon code de façon claire afin de comprendre pourquoi il ne fonctionne pas.</t>
  </si>
  <si>
    <t xml:space="preserve">Erreurs affichées avec la ligne concernée et une explication simplifiée et compréhensible.</t>
  </si>
  <si>
    <t xml:space="preserve">US29</t>
  </si>
  <si>
    <t xml:space="preserve">En tant qu'apprenant, je veux que l'éditeur propose l'auto-complétion et l'indentation automatique afin de coder plus facilement sur mobile.</t>
  </si>
  <si>
    <t xml:space="preserve">Auto-complétion contextuelle active ; indentation automatique ; clavier adapté à la saisie de code.</t>
  </si>
  <si>
    <t xml:space="preserve">US30</t>
  </si>
  <si>
    <t xml:space="preserve">En tant qu'apprenant, je veux que mon code soit sauvegardé automatiquement pendant que j'écris afin de ne jamais perdre mon travail.</t>
  </si>
  <si>
    <t xml:space="preserve">Sauvegarde automatique locale et/ou cloud à intervalle régulier, sans action manuelle requise.</t>
  </si>
  <si>
    <t xml:space="preserve">US31</t>
  </si>
  <si>
    <t xml:space="preserve">En tant qu'apprenant, je veux pouvoir coder hors-ligne afin de continuer à apprendre sans connexion internet.</t>
  </si>
  <si>
    <t xml:space="preserve">Éditeur et leçons déjà téléchargées utilisables hors-ligne ; synchronisation automatique à la reconnexion.</t>
  </si>
  <si>
    <t xml:space="preserve">US32</t>
  </si>
  <si>
    <t xml:space="preserve">En tant qu'apprenant, je veux demander à l'IA d'expliquer une portion de mon code afin de mieux comprendre ce qu'il fait.</t>
  </si>
  <si>
    <t xml:space="preserve">Fonction « Expliquer ce code » disponible ; réponse pédagogique adaptée au niveau de l'apprenant.</t>
  </si>
  <si>
    <t xml:space="preserve">US33</t>
  </si>
  <si>
    <t xml:space="preserve">En tant qu'apprenant, je veux que l'IA m'aide à localiser un bug dans mon code afin de pouvoir le corriger moi-même.</t>
  </si>
  <si>
    <t xml:space="preserve">Fonction « Trouver l'erreur » identifiant la zone problématique sans fournir directement la solution complète.</t>
  </si>
  <si>
    <t xml:space="preserve">US34</t>
  </si>
  <si>
    <t xml:space="preserve">En tant qu'apprenant, je veux que l'IA me propose des pistes d'amélioration de mon code afin d'apprendre les bonnes pratiques.</t>
  </si>
  <si>
    <t xml:space="preserve">Suggestions de refactorisation proposées avec une justification pédagogique claire.</t>
  </si>
  <si>
    <t xml:space="preserve">US35</t>
  </si>
  <si>
    <t xml:space="preserve">En tant qu'apprenant, je veux garder le contrôle total sur les modifications suggérées par l'IA afin de rester acteur de mon apprentissage.</t>
  </si>
  <si>
    <t xml:space="preserve">Aucune modification de code appliquée sans validation explicite (accepter/refuser) de l'utilisateur.</t>
  </si>
  <si>
    <t xml:space="preserve">US36</t>
  </si>
  <si>
    <t xml:space="preserve">En tant qu'apprenant, je veux poser des questions libres à l'assistant IA sur un concept de programmation afin d'obtenir de l'aide à tout moment.</t>
  </si>
  <si>
    <t xml:space="preserve">Chat IA contextualisé à la leçon ou au projet en cours ; historique de conversation conservé.</t>
  </si>
  <si>
    <t xml:space="preserve">US37</t>
  </si>
  <si>
    <t xml:space="preserve">En tant que parent, je veux que les réponses de l'assistant IA soient filtrées et adaptées à un public d'enfants afin de garantir un contenu sûr et approprié.</t>
  </si>
  <si>
    <t xml:space="preserve">Filtrage de contenu actif ; ton pédagogique bienveillant ; sujets hors-cadre bloqués.</t>
  </si>
  <si>
    <t xml:space="preserve">US38</t>
  </si>
  <si>
    <t xml:space="preserve">En tant qu'apprenant, je veux créer un projet (app, site, outil) à partir d'un modèle guidé afin de mettre en pratique mes compétences.</t>
  </si>
  <si>
    <t xml:space="preserve">Bibliothèque de modèles de projets disponible, classée par niveau et par langage.</t>
  </si>
  <si>
    <t xml:space="preserve">US39</t>
  </si>
  <si>
    <t xml:space="preserve">En tant qu'apprenant, je veux publier mes projets terminés dans un portfolio personnel afin de les montrer à d'autres personnes.</t>
  </si>
  <si>
    <t xml:space="preserve">Page portfolio générée automatiquement, listant les projets avec captures d'écran.</t>
  </si>
  <si>
    <t xml:space="preserve">US40</t>
  </si>
  <si>
    <t xml:space="preserve">En tant qu'apprenant, je veux partager le lien de mon portfolio afin de le montrer à ma famille, mes amis ou de futurs recruteurs.</t>
  </si>
  <si>
    <t xml:space="preserve">Lien public généré ; options de confidentialité (public/privé) disponibles.</t>
  </si>
  <si>
    <t xml:space="preserve">US41</t>
  </si>
  <si>
    <t xml:space="preserve">En tant qu'apprenant, je veux organiser mes projets par catégorie (jeux, sites, outils) afin de structurer mon portfolio.</t>
  </si>
  <si>
    <t xml:space="preserve">Système de tags ou catégories utilisable lors de la publication d'un projet.</t>
  </si>
  <si>
    <t xml:space="preserve">US42</t>
  </si>
  <si>
    <t xml:space="preserve">En tant qu'apprenant, je veux recevoir des retours automatisés de l'IA sur la qualité de mon projet afin de l'améliorer avant publication.</t>
  </si>
  <si>
    <t xml:space="preserve">Analyse IA du projet disponible avant publication, avec suggestions concrètes.</t>
  </si>
  <si>
    <t xml:space="preserve">US43</t>
  </si>
  <si>
    <t xml:space="preserve">En tant qu'apprenant, je veux maintenir un « streak » de jours consécutifs d'apprentissage afin de rester motivé à revenir chaque jour.</t>
  </si>
  <si>
    <t xml:space="preserve">Compteur de streak visible sur l'écran d'accueil ; rappel envoyé avant la perte du streak.</t>
  </si>
  <si>
    <t xml:space="preserve">US44</t>
  </si>
  <si>
    <t xml:space="preserve">En tant qu'apprenant, je veux gagner des badges en accomplissant des objectifs afin de me sentir valorisé dans mon apprentissage.</t>
  </si>
  <si>
    <t xml:space="preserve">Badges attribués automatiquement lors de jalons définis (leçons, streaks, projets).</t>
  </si>
  <si>
    <t xml:space="preserve">US45</t>
  </si>
  <si>
    <t xml:space="preserve">En tant qu'apprenant, je veux obtenir un certificat à la fin d'un parcours afin de valoriser mes compétences acquises.</t>
  </si>
  <si>
    <t xml:space="preserve">Certificat généré automatiquement, téléchargeable et partageable, avec nom, parcours et date.</t>
  </si>
  <si>
    <t xml:space="preserve">US46</t>
  </si>
  <si>
    <t xml:space="preserve">En tant qu'apprenant, je veux consulter un classement entre amis ou au niveau global afin de me comparer et rester motivé.</t>
  </si>
  <si>
    <t xml:space="preserve">Classement basé sur les points d'expérience, filtrable par amis ou classement global.</t>
  </si>
  <si>
    <t xml:space="preserve">US47</t>
  </si>
  <si>
    <t xml:space="preserve">En tant qu'apprenant, je veux gagner des points d'expérience à chaque activité complétée afin de visualiser ma progression de façon ludique.</t>
  </si>
  <si>
    <t xml:space="preserve">Points d'expérience attribués après chaque activité ; niveau global affiché et mis à jour.</t>
  </si>
  <si>
    <t xml:space="preserve">US48</t>
  </si>
  <si>
    <t xml:space="preserve">En tant que parent, je veux pouvoir désactiver les classements publics pour mon enfant afin de préserver sa vie privée si je le souhaite.</t>
  </si>
  <si>
    <t xml:space="preserve">Option de confidentialité disponible dans l'espace parent, appliquée immédiatement.</t>
  </si>
  <si>
    <t xml:space="preserve">US49</t>
  </si>
  <si>
    <t xml:space="preserve">En tant qu'apprenant, je veux voir un tableau de bord de ma progression (leçons terminées, temps passé, compétences acquises) afin de suivre mon évolution.</t>
  </si>
  <si>
    <t xml:space="preserve">Tableau de bord avec indicateurs clés et représentation graphique de la progression.</t>
  </si>
  <si>
    <t xml:space="preserve">US50</t>
  </si>
  <si>
    <t xml:space="preserve">En tant qu'apprenant, je veux recevoir un résumé hebdomadaire de mes progrès afin de rester conscient de mon évolution.</t>
  </si>
  <si>
    <t xml:space="preserve">Récapitulatif hebdomadaire envoyé par notification ou consultable dans l'app.</t>
  </si>
  <si>
    <t xml:space="preserve">US51</t>
  </si>
  <si>
    <t xml:space="preserve">En tant qu'apprenant, je veux que l'app identifie mes points faibles afin de savoir sur quoi m'entraîner davantage.</t>
  </si>
  <si>
    <t xml:space="preserve">Détection automatique des notions présentant un taux d'échec élevé ; suggestions de révision proposées.</t>
  </si>
  <si>
    <t xml:space="preserve">US52</t>
  </si>
  <si>
    <t xml:space="preserve">En tant qu'apprenant, je veux comparer ma progression actuelle à mes objectifs initiaux afin de rester aligné avec mes ambitions.</t>
  </si>
  <si>
    <t xml:space="preserve">Comparaison objectif vs. progression réelle visible sur le tableau de bord.</t>
  </si>
  <si>
    <t xml:space="preserve">US53</t>
  </si>
  <si>
    <t xml:space="preserve">En tant qu'apprenant, je veux apprendre les bases de Git et du versioning afin de comprendre comment les développeurs collaborent.</t>
  </si>
  <si>
    <t xml:space="preserve">Module dédié Git/GitHub proposé avec exercices pratiques simulés.</t>
  </si>
  <si>
    <t xml:space="preserve">US54</t>
  </si>
  <si>
    <t xml:space="preserve">En tant qu'apprenant, je veux découvrir les outils et workflows utilisés en entreprise (revue de code, tests, CI/CD) afin de me préparer au monde professionnel.</t>
  </si>
  <si>
    <t xml:space="preserve">Module « Workflow développeur moderne » proposé avec cas pratiques concrets.</t>
  </si>
  <si>
    <t xml:space="preserve">US55</t>
  </si>
  <si>
    <t xml:space="preserve">En tant qu'apprenant, je veux partager mon code avec un ami ou un mentor afin d'obtenir un avis ou de l'aide.</t>
  </si>
  <si>
    <t xml:space="preserve">Fonction de partage de snippet de code disponible, par lien ou export.</t>
  </si>
  <si>
    <t xml:space="preserve">US56</t>
  </si>
  <si>
    <t xml:space="preserve">En tant qu'apprenant, je veux participer à un défi de code collaboratif afin d'apprendre en groupe de façon ludique.</t>
  </si>
  <si>
    <t xml:space="preserve">Mode challenge/événement disponible avec participation multiple et classement dédié.</t>
  </si>
  <si>
    <t xml:space="preserve">US57</t>
  </si>
  <si>
    <t xml:space="preserve">En tant qu'apprenant, je veux recevoir un rappel quotidien afin de ne pas oublier de m'entraîner et de maintenir mon streak.</t>
  </si>
  <si>
    <t xml:space="preserve">Notification push configurable (heure, fréquence) et désactivable à tout moment.</t>
  </si>
  <si>
    <t xml:space="preserve">US58</t>
  </si>
  <si>
    <t xml:space="preserve">En tant qu'apprenant, je veux être notifié lorsque je débloque un badge, un certificat ou un niveau afin de célébrer mes réussites.</t>
  </si>
  <si>
    <t xml:space="preserve">Notification in-app et push déclenchée à chaque récompense obtenue.</t>
  </si>
  <si>
    <t xml:space="preserve">US59</t>
  </si>
  <si>
    <t xml:space="preserve">En tant qu'utilisateur, je veux gérer mes préférences de notifications afin de recevoir uniquement ce qui m'intéresse.</t>
  </si>
  <si>
    <t xml:space="preserve">Écran de paramètres permettant d'activer/désactiver chaque type de notification.</t>
  </si>
  <si>
    <t xml:space="preserve">US60</t>
  </si>
  <si>
    <t xml:space="preserve">En tant qu'administrateur de contenu, je veux créer et publier de nouvelles leçons et exercices afin d'enrichir le catalogue pédagogique.</t>
  </si>
  <si>
    <t xml:space="preserve">Interface back-office de création de leçons disponible, avec prévisualisation avant publication.</t>
  </si>
  <si>
    <t xml:space="preserve">US61</t>
  </si>
  <si>
    <t xml:space="preserve">En tant qu'administrateur, je veux modérer les contenus partagés par les utilisateurs (portfolio, commentaires) afin de garantir un environnement sûr.</t>
  </si>
  <si>
    <t xml:space="preserve">File de modération disponible avec actions accepter / rejeter / signaler.</t>
  </si>
  <si>
    <t xml:space="preserve">US62</t>
  </si>
  <si>
    <t xml:space="preserve">En tant qu'administrateur, je veux consulter des statistiques globales d'usage (rétention, taux de complétion) afin de piloter l'amélioration du produit.</t>
  </si>
  <si>
    <t xml:space="preserve">Tableau de bord analytique disponible avec indicateurs clés (utilisateurs actifs, rétention, complétion).</t>
  </si>
  <si>
    <t xml:space="preserve">US63</t>
  </si>
  <si>
    <t xml:space="preserve">En tant qu'administrateur, je veux gérer les comptes utilisateurs (suspension, support) afin de traiter les demandes et incidents.</t>
  </si>
  <si>
    <t xml:space="preserve">Interface de gestion des comptes disponible avec actions de support courantes.</t>
  </si>
  <si>
    <t xml:space="preserve">US64</t>
  </si>
  <si>
    <t xml:space="preserve">En tant qu'utilisateur, je veux changer la langue de l'application afin de l'utiliser dans ma langue préférée.</t>
  </si>
  <si>
    <t xml:space="preserve">Sélecteur de langue disponible ; interface et contenus traduits dans les langues proposées.</t>
  </si>
  <si>
    <t xml:space="preserve">US65</t>
  </si>
  <si>
    <t xml:space="preserve">En tant qu'utilisateur, je veux activer un mode sombre afin de réduire la fatigue visuelle lors de mes sessions de code.</t>
  </si>
  <si>
    <t xml:space="preserve">Bascule thème clair/sombre disponible et appliquée à l'ensemble de l'application, éditeur inclus.</t>
  </si>
  <si>
    <t xml:space="preserve">US66</t>
  </si>
  <si>
    <t xml:space="preserve">En tant qu'utilisateur ayant des besoins spécifiques, je veux bénéficier d'options d'accessibilité (taille de police, contraste, lecture vocale) afin d'utiliser l'app confortablement.</t>
  </si>
  <si>
    <t xml:space="preserve">Réglages d'accessibilité disponibles, conformes aux standards de base (WCAG).</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</si>
</sst>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b val="true"/>
      <sz val="10"/>
      <name val="Arial"/>
      <family val="0"/>
      <charset val="1"/>
    </font>
    <font>
      <b val="true"/>
      <sz val="12"/>
      <color rgb="FF1F4E78"/>
      <name val="Arial"/>
      <family val="0"/>
      <charset val="1"/>
    </font>
    <font>
      <sz val="10"/>
      <name val="Arial"/>
      <family val="0"/>
      <charset val="1"/>
    </font>
    <font>
      <b val="true"/>
      <sz val="11"/>
      <color rgb="FFFFFFFF"/>
      <name val="Arial"/>
      <family val="0"/>
      <charset val="1"/>
    </font>
  </fonts>
  <fills count="8">
    <fill>
      <patternFill patternType="none"/>
    </fill>
    <fill>
      <patternFill patternType="gray125"/>
    </fill>
    <fill>
      <patternFill patternType="solid">
        <fgColor rgb="FF1F4E78"/>
        <bgColor rgb="FF003366"/>
      </patternFill>
    </fill>
    <fill>
      <patternFill patternType="solid">
        <fgColor rgb="FF2E75B6"/>
        <bgColor rgb="FF0066CC"/>
      </patternFill>
    </fill>
    <fill>
      <patternFill patternType="solid">
        <fgColor rgb="FFF2F6FC"/>
        <bgColor rgb="FFFFFFFF"/>
      </patternFill>
    </fill>
    <fill>
      <patternFill patternType="solid">
        <fgColor rgb="FFF8CBAD"/>
        <bgColor rgb="FFFFE699"/>
      </patternFill>
    </fill>
    <fill>
      <patternFill patternType="solid">
        <fgColor rgb="FFFFE699"/>
        <bgColor rgb="FFF8CBAD"/>
      </patternFill>
    </fill>
    <fill>
      <patternFill patternType="solid">
        <fgColor rgb="FFC6E0B4"/>
        <bgColor rgb="FFB7C6E5"/>
      </patternFill>
    </fill>
  </fills>
  <borders count="2">
    <border diagonalUp="false" diagonalDown="false">
      <left/>
      <right/>
      <top/>
      <bottom/>
      <diagonal/>
    </border>
    <border diagonalUp="false" diagonalDown="false">
      <left style="thin">
        <color rgb="FFB7C6E5"/>
      </left>
      <right style="thin">
        <color rgb="FFB7C6E5"/>
      </right>
      <top style="thin">
        <color rgb="FFB7C6E5"/>
      </top>
      <bottom style="thin">
        <color rgb="FFB7C6E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5" fontId="7" fillId="4"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2E75B6"/>
          <bgColor rgb="FF000000"/>
        </patternFill>
      </fill>
    </dxf>
    <dxf>
      <fill>
        <patternFill patternType="solid">
          <fgColor rgb="FFF2F6FC"/>
          <bgColor rgb="FF000000"/>
        </patternFill>
      </fill>
    </dxf>
    <dxf>
      <fill>
        <patternFill patternType="solid">
          <bgColor rgb="FF000000"/>
        </patternFill>
      </fill>
    </dxf>
    <dxf>
      <fill>
        <patternFill patternType="solid">
          <fgColor rgb="FFFFFFFF"/>
          <bgColor rgb="FF000000"/>
        </patternFill>
      </fill>
    </dxf>
    <dxf>
      <fill>
        <patternFill patternType="solid">
          <fgColor rgb="FFC6E0B4"/>
          <bgColor rgb="FF000000"/>
        </patternFill>
      </fill>
    </dxf>
    <dxf>
      <fill>
        <patternFill patternType="solid">
          <fgColor rgb="FFF8CBAD"/>
          <bgColor rgb="FF000000"/>
        </patternFill>
      </fill>
    </dxf>
    <dxf>
      <fill>
        <patternFill patternType="solid">
          <fgColor rgb="FFFFE6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C6E5"/>
      <rgbColor rgb="FF808080"/>
      <rgbColor rgb="FF9999FF"/>
      <rgbColor rgb="FF993366"/>
      <rgbColor rgb="FFF2F6F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TblEpics" displayName="TblEpics" ref="A1:F14" headerRowCount="1" totalsRowCount="0" totalsRowShown="0">
  <autoFilter ref="A1:F14"/>
  <tableColumns count="6">
    <tableColumn id="1" name="ID Epic"/>
    <tableColumn id="2" name="Nom de l'Epic"/>
    <tableColumn id="3" name="Description"/>
    <tableColumn id="4" name="Objectif métier"/>
    <tableColumn id="5" name="Priorité"/>
    <tableColumn id="6" name="Nombre de User Stories"/>
  </tableColumns>
</table>
</file>

<file path=xl/tables/table2.xml><?xml version="1.0" encoding="utf-8"?>
<table xmlns="http://schemas.openxmlformats.org/spreadsheetml/2006/main" id="2" name="TblUserStories" displayName="TblUserStories" ref="A1:H67" headerRowCount="1" totalsRowCount="0" totalsRowShown="0">
  <autoFilter ref="A1:H67"/>
  <tableColumns count="8">
    <tableColumn id="1" name="ID US"/>
    <tableColumn id="2" name="ID Epic"/>
    <tableColumn id="3" name="Epic"/>
    <tableColumn id="4" name="User Story"/>
    <tableColumn id="5" name="Critères d'acceptation"/>
    <tableColumn id="6" name="Priorité (MoSCoW)"/>
    <tableColumn id="7" name="Story Points"/>
    <tableColumn id="8" name="Statut"/>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70"/>
    <col collapsed="false" customWidth="true" hidden="false" outlineLevel="0" max="6" min="3" style="0" width="14"/>
  </cols>
  <sheetData>
    <row r="1" customFormat="false" ht="21.75" hidden="false" customHeight="true" outlineLevel="0" collapsed="false">
      <c r="A1" s="1" t="s">
        <v>0</v>
      </c>
      <c r="B1" s="1"/>
      <c r="C1" s="1"/>
      <c r="D1" s="1"/>
      <c r="E1" s="1"/>
      <c r="F1" s="1"/>
    </row>
    <row r="2" customFormat="false" ht="21.75" hidden="false" customHeight="true" outlineLevel="0" collapsed="false">
      <c r="A2" s="1"/>
      <c r="B2" s="1"/>
      <c r="C2" s="1"/>
      <c r="D2" s="1"/>
      <c r="E2" s="1"/>
      <c r="F2" s="1"/>
    </row>
    <row r="4" customFormat="false" ht="15" hidden="false" customHeight="false" outlineLevel="0" collapsed="false">
      <c r="A4" s="2" t="s">
        <v>1</v>
      </c>
      <c r="B4" s="3" t="s">
        <v>2</v>
      </c>
    </row>
    <row r="5" customFormat="false" ht="15" hidden="false" customHeight="false" outlineLevel="0" collapsed="false">
      <c r="A5" s="2" t="s">
        <v>3</v>
      </c>
      <c r="B5" s="3" t="s">
        <v>4</v>
      </c>
    </row>
    <row r="6" customFormat="false" ht="15" hidden="false" customHeight="false" outlineLevel="0" collapsed="false">
      <c r="A6" s="2" t="s">
        <v>5</v>
      </c>
      <c r="B6" s="3" t="s">
        <v>6</v>
      </c>
    </row>
    <row r="7" customFormat="false" ht="15" hidden="false" customHeight="false" outlineLevel="0" collapsed="false">
      <c r="A7" s="2" t="s">
        <v>7</v>
      </c>
      <c r="B7" s="3" t="s">
        <v>8</v>
      </c>
    </row>
    <row r="8" customFormat="false" ht="15" hidden="false" customHeight="false" outlineLevel="0" collapsed="false">
      <c r="A8" s="2" t="s">
        <v>9</v>
      </c>
      <c r="B8" s="3" t="s">
        <v>10</v>
      </c>
    </row>
    <row r="9" customFormat="false" ht="15" hidden="false" customHeight="false" outlineLevel="0" collapsed="false">
      <c r="A9" s="2" t="s">
        <v>11</v>
      </c>
      <c r="B9" s="3" t="s">
        <v>12</v>
      </c>
    </row>
    <row r="11" customFormat="false" ht="15" hidden="false" customHeight="false" outlineLevel="0" collapsed="false">
      <c r="A11" s="4" t="s">
        <v>13</v>
      </c>
    </row>
    <row r="12" customFormat="false" ht="15" hidden="false" customHeight="true" outlineLevel="0" collapsed="false">
      <c r="A12" s="5" t="s">
        <v>14</v>
      </c>
      <c r="B12" s="5"/>
      <c r="C12" s="5"/>
      <c r="D12" s="5"/>
      <c r="E12" s="5"/>
      <c r="F12" s="5"/>
    </row>
    <row r="13" customFormat="false" ht="15" hidden="false" customHeight="false" outlineLevel="0" collapsed="false">
      <c r="A13" s="5"/>
      <c r="B13" s="5"/>
      <c r="C13" s="5"/>
      <c r="D13" s="5"/>
      <c r="E13" s="5"/>
      <c r="F13" s="5"/>
    </row>
    <row r="14" customFormat="false" ht="15" hidden="false" customHeight="false" outlineLevel="0" collapsed="false">
      <c r="A14" s="5"/>
      <c r="B14" s="5"/>
      <c r="C14" s="5"/>
      <c r="D14" s="5"/>
      <c r="E14" s="5"/>
      <c r="F14" s="5"/>
    </row>
    <row r="15" customFormat="false" ht="15" hidden="false" customHeight="false" outlineLevel="0" collapsed="false">
      <c r="A15" s="5"/>
      <c r="B15" s="5"/>
      <c r="C15" s="5"/>
      <c r="D15" s="5"/>
      <c r="E15" s="5"/>
      <c r="F15" s="5"/>
    </row>
    <row r="17" customFormat="false" ht="15" hidden="false" customHeight="false" outlineLevel="0" collapsed="false">
      <c r="A17" s="4" t="s">
        <v>15</v>
      </c>
    </row>
    <row r="18" customFormat="false" ht="15" hidden="false" customHeight="true" outlineLevel="0" collapsed="false">
      <c r="A18" s="2" t="s">
        <v>16</v>
      </c>
      <c r="B18" s="5" t="s">
        <v>17</v>
      </c>
      <c r="C18" s="5"/>
      <c r="D18" s="5"/>
      <c r="E18" s="5"/>
      <c r="F18" s="5"/>
    </row>
    <row r="19" customFormat="false" ht="15" hidden="false" customHeight="true" outlineLevel="0" collapsed="false">
      <c r="A19" s="2" t="s">
        <v>18</v>
      </c>
      <c r="B19" s="5" t="s">
        <v>19</v>
      </c>
      <c r="C19" s="5"/>
      <c r="D19" s="5"/>
      <c r="E19" s="5"/>
      <c r="F19" s="5"/>
    </row>
    <row r="20" customFormat="false" ht="15" hidden="false" customHeight="true" outlineLevel="0" collapsed="false">
      <c r="A20" s="2" t="s">
        <v>20</v>
      </c>
      <c r="B20" s="5" t="s">
        <v>21</v>
      </c>
      <c r="C20" s="5"/>
      <c r="D20" s="5"/>
      <c r="E20" s="5"/>
      <c r="F20" s="5"/>
    </row>
    <row r="22" customFormat="false" ht="15" hidden="false" customHeight="false" outlineLevel="0" collapsed="false">
      <c r="A22" s="4" t="s">
        <v>22</v>
      </c>
    </row>
    <row r="23" customFormat="false" ht="15" hidden="false" customHeight="false" outlineLevel="0" collapsed="false">
      <c r="A23" s="6" t="s">
        <v>23</v>
      </c>
      <c r="B23" s="6" t="s">
        <v>24</v>
      </c>
    </row>
    <row r="24" customFormat="false" ht="15" hidden="false" customHeight="false" outlineLevel="0" collapsed="false">
      <c r="A24" s="7" t="s">
        <v>25</v>
      </c>
      <c r="B24" s="8" t="n">
        <f aca="false">COUNTA(Epics!A2:A1000)</f>
        <v>13</v>
      </c>
    </row>
    <row r="25" customFormat="false" ht="15" hidden="false" customHeight="false" outlineLevel="0" collapsed="false">
      <c r="A25" s="7" t="s">
        <v>26</v>
      </c>
      <c r="B25" s="8" t="n">
        <f aca="false">COUNTA('User Stories'!A2:A1000)</f>
        <v>66</v>
      </c>
    </row>
    <row r="26" customFormat="false" ht="15" hidden="false" customHeight="false" outlineLevel="0" collapsed="false">
      <c r="A26" s="7" t="s">
        <v>27</v>
      </c>
      <c r="B26" s="8" t="n">
        <f aca="false">COUNTIF('User Stories'!F2:F1000,"Must")</f>
        <v>27</v>
      </c>
    </row>
    <row r="27" customFormat="false" ht="15" hidden="false" customHeight="false" outlineLevel="0" collapsed="false">
      <c r="A27" s="7" t="s">
        <v>28</v>
      </c>
      <c r="B27" s="8" t="n">
        <f aca="false">COUNTIF('User Stories'!F2:F1000,"Should")</f>
        <v>25</v>
      </c>
    </row>
    <row r="28" customFormat="false" ht="15" hidden="false" customHeight="false" outlineLevel="0" collapsed="false">
      <c r="A28" s="7" t="s">
        <v>29</v>
      </c>
      <c r="B28" s="8" t="n">
        <f aca="false">COUNTIF('User Stories'!F2:F1000,"Could")</f>
        <v>14</v>
      </c>
    </row>
    <row r="29" customFormat="false" ht="15" hidden="false" customHeight="false" outlineLevel="0" collapsed="false">
      <c r="A29" s="7" t="s">
        <v>30</v>
      </c>
      <c r="B29" s="8" t="n">
        <f aca="false">SUM('User Stories'!G2:G1000)</f>
        <v>391</v>
      </c>
    </row>
  </sheetData>
  <mergeCells count="5">
    <mergeCell ref="A1:F2"/>
    <mergeCell ref="A12:F15"/>
    <mergeCell ref="B18:F18"/>
    <mergeCell ref="B19:F19"/>
    <mergeCell ref="B20: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55"/>
    <col collapsed="false" customWidth="true" hidden="false" outlineLevel="0" max="4" min="4" style="0" width="50"/>
    <col collapsed="false" customWidth="true" hidden="false" outlineLevel="0" max="5" min="5" style="0" width="12"/>
    <col collapsed="false" customWidth="true" hidden="false" outlineLevel="0" max="6" min="6" style="0" width="14"/>
  </cols>
  <sheetData>
    <row r="1" customFormat="false" ht="19.5" hidden="false" customHeight="true" outlineLevel="0" collapsed="false">
      <c r="A1" s="6" t="s">
        <v>31</v>
      </c>
      <c r="B1" s="6" t="s">
        <v>32</v>
      </c>
      <c r="C1" s="6" t="s">
        <v>33</v>
      </c>
      <c r="D1" s="6" t="s">
        <v>34</v>
      </c>
      <c r="E1" s="6" t="s">
        <v>35</v>
      </c>
      <c r="F1" s="6" t="s">
        <v>26</v>
      </c>
    </row>
    <row r="2" customFormat="false" ht="45" hidden="false" customHeight="true" outlineLevel="0" collapsed="false">
      <c r="A2" s="9" t="s">
        <v>36</v>
      </c>
      <c r="B2" s="9" t="s">
        <v>37</v>
      </c>
      <c r="C2" s="10" t="s">
        <v>38</v>
      </c>
      <c r="D2" s="10" t="s">
        <v>39</v>
      </c>
      <c r="E2" s="11" t="s">
        <v>40</v>
      </c>
      <c r="F2" s="12" t="n">
        <f aca="false">COUNTIF('User Stories'!B:B,A2)</f>
        <v>6</v>
      </c>
    </row>
    <row r="3" customFormat="false" ht="45" hidden="false" customHeight="true" outlineLevel="0" collapsed="false">
      <c r="A3" s="13" t="s">
        <v>41</v>
      </c>
      <c r="B3" s="13" t="s">
        <v>42</v>
      </c>
      <c r="C3" s="14" t="s">
        <v>43</v>
      </c>
      <c r="D3" s="14" t="s">
        <v>44</v>
      </c>
      <c r="E3" s="11" t="s">
        <v>40</v>
      </c>
      <c r="F3" s="15" t="n">
        <f aca="false">COUNTIF('User Stories'!B:B,A3)</f>
        <v>6</v>
      </c>
    </row>
    <row r="4" customFormat="false" ht="45" hidden="false" customHeight="true" outlineLevel="0" collapsed="false">
      <c r="A4" s="9" t="s">
        <v>45</v>
      </c>
      <c r="B4" s="9" t="s">
        <v>46</v>
      </c>
      <c r="C4" s="10" t="s">
        <v>47</v>
      </c>
      <c r="D4" s="10" t="s">
        <v>48</v>
      </c>
      <c r="E4" s="11" t="s">
        <v>40</v>
      </c>
      <c r="F4" s="12" t="n">
        <f aca="false">COUNTIF('User Stories'!B:B,A4)</f>
        <v>7</v>
      </c>
    </row>
    <row r="5" customFormat="false" ht="45" hidden="false" customHeight="true" outlineLevel="0" collapsed="false">
      <c r="A5" s="13" t="s">
        <v>49</v>
      </c>
      <c r="B5" s="13" t="s">
        <v>50</v>
      </c>
      <c r="C5" s="14" t="s">
        <v>51</v>
      </c>
      <c r="D5" s="14" t="s">
        <v>52</v>
      </c>
      <c r="E5" s="11" t="s">
        <v>40</v>
      </c>
      <c r="F5" s="15" t="n">
        <f aca="false">COUNTIF('User Stories'!B:B,A5)</f>
        <v>6</v>
      </c>
    </row>
    <row r="6" customFormat="false" ht="45" hidden="false" customHeight="true" outlineLevel="0" collapsed="false">
      <c r="A6" s="9" t="s">
        <v>53</v>
      </c>
      <c r="B6" s="9" t="s">
        <v>54</v>
      </c>
      <c r="C6" s="10" t="s">
        <v>55</v>
      </c>
      <c r="D6" s="10" t="s">
        <v>56</v>
      </c>
      <c r="E6" s="11" t="s">
        <v>40</v>
      </c>
      <c r="F6" s="12" t="n">
        <f aca="false">COUNTIF('User Stories'!B:B,A6)</f>
        <v>6</v>
      </c>
    </row>
    <row r="7" customFormat="false" ht="45" hidden="false" customHeight="true" outlineLevel="0" collapsed="false">
      <c r="A7" s="13" t="s">
        <v>57</v>
      </c>
      <c r="B7" s="13" t="s">
        <v>58</v>
      </c>
      <c r="C7" s="14" t="s">
        <v>59</v>
      </c>
      <c r="D7" s="14" t="s">
        <v>60</v>
      </c>
      <c r="E7" s="11" t="s">
        <v>40</v>
      </c>
      <c r="F7" s="15" t="n">
        <f aca="false">COUNTIF('User Stories'!B:B,A7)</f>
        <v>6</v>
      </c>
    </row>
    <row r="8" customFormat="false" ht="45" hidden="false" customHeight="true" outlineLevel="0" collapsed="false">
      <c r="A8" s="9" t="s">
        <v>61</v>
      </c>
      <c r="B8" s="9" t="s">
        <v>62</v>
      </c>
      <c r="C8" s="10" t="s">
        <v>63</v>
      </c>
      <c r="D8" s="10" t="s">
        <v>64</v>
      </c>
      <c r="E8" s="16" t="s">
        <v>65</v>
      </c>
      <c r="F8" s="12" t="n">
        <f aca="false">COUNTIF('User Stories'!B:B,A8)</f>
        <v>5</v>
      </c>
    </row>
    <row r="9" customFormat="false" ht="45" hidden="false" customHeight="true" outlineLevel="0" collapsed="false">
      <c r="A9" s="13" t="s">
        <v>66</v>
      </c>
      <c r="B9" s="13" t="s">
        <v>67</v>
      </c>
      <c r="C9" s="14" t="s">
        <v>68</v>
      </c>
      <c r="D9" s="14" t="s">
        <v>69</v>
      </c>
      <c r="E9" s="16" t="s">
        <v>65</v>
      </c>
      <c r="F9" s="15" t="n">
        <f aca="false">COUNTIF('User Stories'!B:B,A9)</f>
        <v>6</v>
      </c>
    </row>
    <row r="10" customFormat="false" ht="45" hidden="false" customHeight="true" outlineLevel="0" collapsed="false">
      <c r="A10" s="9" t="s">
        <v>70</v>
      </c>
      <c r="B10" s="9" t="s">
        <v>71</v>
      </c>
      <c r="C10" s="10" t="s">
        <v>72</v>
      </c>
      <c r="D10" s="10" t="s">
        <v>73</v>
      </c>
      <c r="E10" s="11" t="s">
        <v>40</v>
      </c>
      <c r="F10" s="12" t="n">
        <f aca="false">COUNTIF('User Stories'!B:B,A10)</f>
        <v>4</v>
      </c>
    </row>
    <row r="11" customFormat="false" ht="45" hidden="false" customHeight="true" outlineLevel="0" collapsed="false">
      <c r="A11" s="13" t="s">
        <v>74</v>
      </c>
      <c r="B11" s="13" t="s">
        <v>75</v>
      </c>
      <c r="C11" s="14" t="s">
        <v>76</v>
      </c>
      <c r="D11" s="14" t="s">
        <v>77</v>
      </c>
      <c r="E11" s="17" t="s">
        <v>78</v>
      </c>
      <c r="F11" s="15" t="n">
        <f aca="false">COUNTIF('User Stories'!B:B,A11)</f>
        <v>4</v>
      </c>
    </row>
    <row r="12" customFormat="false" ht="45" hidden="false" customHeight="true" outlineLevel="0" collapsed="false">
      <c r="A12" s="9" t="s">
        <v>79</v>
      </c>
      <c r="B12" s="9" t="s">
        <v>80</v>
      </c>
      <c r="C12" s="10" t="s">
        <v>81</v>
      </c>
      <c r="D12" s="10" t="s">
        <v>82</v>
      </c>
      <c r="E12" s="16" t="s">
        <v>65</v>
      </c>
      <c r="F12" s="12" t="n">
        <f aca="false">COUNTIF('User Stories'!B:B,A12)</f>
        <v>3</v>
      </c>
    </row>
    <row r="13" customFormat="false" ht="45" hidden="false" customHeight="true" outlineLevel="0" collapsed="false">
      <c r="A13" s="13" t="s">
        <v>83</v>
      </c>
      <c r="B13" s="13" t="s">
        <v>84</v>
      </c>
      <c r="C13" s="14" t="s">
        <v>85</v>
      </c>
      <c r="D13" s="14" t="s">
        <v>86</v>
      </c>
      <c r="E13" s="11" t="s">
        <v>40</v>
      </c>
      <c r="F13" s="15" t="n">
        <f aca="false">COUNTIF('User Stories'!B:B,A13)</f>
        <v>4</v>
      </c>
    </row>
    <row r="14" customFormat="false" ht="45" hidden="false" customHeight="true" outlineLevel="0" collapsed="false">
      <c r="A14" s="9" t="s">
        <v>87</v>
      </c>
      <c r="B14" s="9" t="s">
        <v>88</v>
      </c>
      <c r="C14" s="10" t="s">
        <v>89</v>
      </c>
      <c r="D14" s="10" t="s">
        <v>90</v>
      </c>
      <c r="E14" s="17" t="s">
        <v>78</v>
      </c>
      <c r="F14" s="12" t="n">
        <f aca="false">COUNTIF('User Stories'!B:B,A14)</f>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30"/>
    <col collapsed="false" customWidth="true" hidden="false" outlineLevel="0" max="4" min="4" style="0" width="60"/>
    <col collapsed="false" customWidth="true" hidden="false" outlineLevel="0" max="5" min="5" style="0" width="55"/>
    <col collapsed="false" customWidth="true" hidden="false" outlineLevel="0" max="6" min="6" style="0" width="16"/>
    <col collapsed="false" customWidth="true" hidden="false" outlineLevel="0" max="8" min="7" style="0" width="12"/>
  </cols>
  <sheetData>
    <row r="1" customFormat="false" ht="19.5" hidden="false" customHeight="true" outlineLevel="0" collapsed="false">
      <c r="A1" s="6" t="s">
        <v>91</v>
      </c>
      <c r="B1" s="6" t="s">
        <v>31</v>
      </c>
      <c r="C1" s="6" t="s">
        <v>92</v>
      </c>
      <c r="D1" s="6" t="s">
        <v>93</v>
      </c>
      <c r="E1" s="6" t="s">
        <v>94</v>
      </c>
      <c r="F1" s="6" t="s">
        <v>95</v>
      </c>
      <c r="G1" s="6" t="s">
        <v>96</v>
      </c>
      <c r="H1" s="6" t="s">
        <v>97</v>
      </c>
    </row>
    <row r="2" customFormat="false" ht="60" hidden="false" customHeight="true" outlineLevel="0" collapsed="false">
      <c r="A2" s="13" t="s">
        <v>98</v>
      </c>
      <c r="B2" s="7" t="s">
        <v>36</v>
      </c>
      <c r="C2" s="18" t="str">
        <f aca="false">VLOOKUP(B2,Epics!$A:$B,2,0)</f>
        <v>Onboarding &amp; Gestion de compte</v>
      </c>
      <c r="D2" s="14" t="s">
        <v>99</v>
      </c>
      <c r="E2" s="14" t="s">
        <v>100</v>
      </c>
      <c r="F2" s="11" t="s">
        <v>40</v>
      </c>
      <c r="G2" s="15" t="n">
        <v>5</v>
      </c>
      <c r="H2" s="19" t="s">
        <v>101</v>
      </c>
    </row>
    <row r="3" customFormat="false" ht="60" hidden="false" customHeight="true" outlineLevel="0" collapsed="false">
      <c r="A3" s="13" t="s">
        <v>102</v>
      </c>
      <c r="B3" s="7" t="s">
        <v>36</v>
      </c>
      <c r="C3" s="18" t="str">
        <f aca="false">VLOOKUP(B3,Epics!$A:$B,2,0)</f>
        <v>Onboarding &amp; Gestion de compte</v>
      </c>
      <c r="D3" s="14" t="s">
        <v>103</v>
      </c>
      <c r="E3" s="14" t="s">
        <v>104</v>
      </c>
      <c r="F3" s="11" t="s">
        <v>40</v>
      </c>
      <c r="G3" s="15" t="n">
        <v>3</v>
      </c>
      <c r="H3" s="19" t="s">
        <v>101</v>
      </c>
    </row>
    <row r="4" customFormat="false" ht="60" hidden="false" customHeight="true" outlineLevel="0" collapsed="false">
      <c r="A4" s="13" t="s">
        <v>105</v>
      </c>
      <c r="B4" s="7" t="s">
        <v>36</v>
      </c>
      <c r="C4" s="18" t="str">
        <f aca="false">VLOOKUP(B4,Epics!$A:$B,2,0)</f>
        <v>Onboarding &amp; Gestion de compte</v>
      </c>
      <c r="D4" s="14" t="s">
        <v>106</v>
      </c>
      <c r="E4" s="14" t="s">
        <v>107</v>
      </c>
      <c r="F4" s="16" t="s">
        <v>65</v>
      </c>
      <c r="G4" s="15" t="n">
        <v>5</v>
      </c>
      <c r="H4" s="19" t="s">
        <v>101</v>
      </c>
    </row>
    <row r="5" customFormat="false" ht="60" hidden="false" customHeight="true" outlineLevel="0" collapsed="false">
      <c r="A5" s="13" t="s">
        <v>108</v>
      </c>
      <c r="B5" s="7" t="s">
        <v>36</v>
      </c>
      <c r="C5" s="18" t="str">
        <f aca="false">VLOOKUP(B5,Epics!$A:$B,2,0)</f>
        <v>Onboarding &amp; Gestion de compte</v>
      </c>
      <c r="D5" s="14" t="s">
        <v>109</v>
      </c>
      <c r="E5" s="14" t="s">
        <v>110</v>
      </c>
      <c r="F5" s="17" t="s">
        <v>78</v>
      </c>
      <c r="G5" s="15" t="n">
        <v>3</v>
      </c>
      <c r="H5" s="19" t="s">
        <v>101</v>
      </c>
    </row>
    <row r="6" customFormat="false" ht="60" hidden="false" customHeight="true" outlineLevel="0" collapsed="false">
      <c r="A6" s="13" t="s">
        <v>111</v>
      </c>
      <c r="B6" s="7" t="s">
        <v>36</v>
      </c>
      <c r="C6" s="18" t="str">
        <f aca="false">VLOOKUP(B6,Epics!$A:$B,2,0)</f>
        <v>Onboarding &amp; Gestion de compte</v>
      </c>
      <c r="D6" s="14" t="s">
        <v>112</v>
      </c>
      <c r="E6" s="14" t="s">
        <v>113</v>
      </c>
      <c r="F6" s="16" t="s">
        <v>65</v>
      </c>
      <c r="G6" s="15" t="n">
        <v>3</v>
      </c>
      <c r="H6" s="19" t="s">
        <v>101</v>
      </c>
    </row>
    <row r="7" customFormat="false" ht="60" hidden="false" customHeight="true" outlineLevel="0" collapsed="false">
      <c r="A7" s="13" t="s">
        <v>114</v>
      </c>
      <c r="B7" s="7" t="s">
        <v>36</v>
      </c>
      <c r="C7" s="18" t="str">
        <f aca="false">VLOOKUP(B7,Epics!$A:$B,2,0)</f>
        <v>Onboarding &amp; Gestion de compte</v>
      </c>
      <c r="D7" s="14" t="s">
        <v>115</v>
      </c>
      <c r="E7" s="14" t="s">
        <v>116</v>
      </c>
      <c r="F7" s="11" t="s">
        <v>40</v>
      </c>
      <c r="G7" s="15" t="n">
        <v>3</v>
      </c>
      <c r="H7" s="19" t="s">
        <v>101</v>
      </c>
    </row>
    <row r="8" customFormat="false" ht="60" hidden="false" customHeight="true" outlineLevel="0" collapsed="false">
      <c r="A8" s="13" t="s">
        <v>117</v>
      </c>
      <c r="B8" s="7" t="s">
        <v>41</v>
      </c>
      <c r="C8" s="18" t="str">
        <f aca="false">VLOOKUP(B8,Epics!$A:$B,2,0)</f>
        <v>Contrôle parental &amp; Sécurité enfant</v>
      </c>
      <c r="D8" s="14" t="s">
        <v>118</v>
      </c>
      <c r="E8" s="14" t="s">
        <v>119</v>
      </c>
      <c r="F8" s="11" t="s">
        <v>40</v>
      </c>
      <c r="G8" s="15" t="n">
        <v>5</v>
      </c>
      <c r="H8" s="19" t="s">
        <v>101</v>
      </c>
    </row>
    <row r="9" customFormat="false" ht="60" hidden="false" customHeight="true" outlineLevel="0" collapsed="false">
      <c r="A9" s="13" t="s">
        <v>120</v>
      </c>
      <c r="B9" s="7" t="s">
        <v>41</v>
      </c>
      <c r="C9" s="18" t="str">
        <f aca="false">VLOOKUP(B9,Epics!$A:$B,2,0)</f>
        <v>Contrôle parental &amp; Sécurité enfant</v>
      </c>
      <c r="D9" s="14" t="s">
        <v>121</v>
      </c>
      <c r="E9" s="14" t="s">
        <v>122</v>
      </c>
      <c r="F9" s="11" t="s">
        <v>40</v>
      </c>
      <c r="G9" s="15" t="n">
        <v>5</v>
      </c>
      <c r="H9" s="19" t="s">
        <v>101</v>
      </c>
    </row>
    <row r="10" customFormat="false" ht="60" hidden="false" customHeight="true" outlineLevel="0" collapsed="false">
      <c r="A10" s="13" t="s">
        <v>123</v>
      </c>
      <c r="B10" s="7" t="s">
        <v>41</v>
      </c>
      <c r="C10" s="18" t="str">
        <f aca="false">VLOOKUP(B10,Epics!$A:$B,2,0)</f>
        <v>Contrôle parental &amp; Sécurité enfant</v>
      </c>
      <c r="D10" s="14" t="s">
        <v>124</v>
      </c>
      <c r="E10" s="14" t="s">
        <v>125</v>
      </c>
      <c r="F10" s="16" t="s">
        <v>65</v>
      </c>
      <c r="G10" s="15" t="n">
        <v>5</v>
      </c>
      <c r="H10" s="19" t="s">
        <v>101</v>
      </c>
    </row>
    <row r="11" customFormat="false" ht="60" hidden="false" customHeight="true" outlineLevel="0" collapsed="false">
      <c r="A11" s="13" t="s">
        <v>126</v>
      </c>
      <c r="B11" s="7" t="s">
        <v>41</v>
      </c>
      <c r="C11" s="18" t="str">
        <f aca="false">VLOOKUP(B11,Epics!$A:$B,2,0)</f>
        <v>Contrôle parental &amp; Sécurité enfant</v>
      </c>
      <c r="D11" s="14" t="s">
        <v>127</v>
      </c>
      <c r="E11" s="14" t="s">
        <v>128</v>
      </c>
      <c r="F11" s="11" t="s">
        <v>40</v>
      </c>
      <c r="G11" s="15" t="n">
        <v>8</v>
      </c>
      <c r="H11" s="19" t="s">
        <v>101</v>
      </c>
    </row>
    <row r="12" customFormat="false" ht="60" hidden="false" customHeight="true" outlineLevel="0" collapsed="false">
      <c r="A12" s="13" t="s">
        <v>129</v>
      </c>
      <c r="B12" s="7" t="s">
        <v>41</v>
      </c>
      <c r="C12" s="18" t="str">
        <f aca="false">VLOOKUP(B12,Epics!$A:$B,2,0)</f>
        <v>Contrôle parental &amp; Sécurité enfant</v>
      </c>
      <c r="D12" s="14" t="s">
        <v>130</v>
      </c>
      <c r="E12" s="14" t="s">
        <v>131</v>
      </c>
      <c r="F12" s="11" t="s">
        <v>40</v>
      </c>
      <c r="G12" s="15" t="n">
        <v>8</v>
      </c>
      <c r="H12" s="19" t="s">
        <v>101</v>
      </c>
    </row>
    <row r="13" customFormat="false" ht="60" hidden="false" customHeight="true" outlineLevel="0" collapsed="false">
      <c r="A13" s="13" t="s">
        <v>132</v>
      </c>
      <c r="B13" s="7" t="s">
        <v>41</v>
      </c>
      <c r="C13" s="18" t="str">
        <f aca="false">VLOOKUP(B13,Epics!$A:$B,2,0)</f>
        <v>Contrôle parental &amp; Sécurité enfant</v>
      </c>
      <c r="D13" s="14" t="s">
        <v>133</v>
      </c>
      <c r="E13" s="14" t="s">
        <v>134</v>
      </c>
      <c r="F13" s="11" t="s">
        <v>40</v>
      </c>
      <c r="G13" s="15" t="n">
        <v>8</v>
      </c>
      <c r="H13" s="19" t="s">
        <v>101</v>
      </c>
    </row>
    <row r="14" customFormat="false" ht="60" hidden="false" customHeight="true" outlineLevel="0" collapsed="false">
      <c r="A14" s="13" t="s">
        <v>135</v>
      </c>
      <c r="B14" s="7" t="s">
        <v>45</v>
      </c>
      <c r="C14" s="18" t="str">
        <f aca="false">VLOOKUP(B14,Epics!$A:$B,2,0)</f>
        <v>Parcours d'apprentissage structurés</v>
      </c>
      <c r="D14" s="14" t="s">
        <v>136</v>
      </c>
      <c r="E14" s="14" t="s">
        <v>137</v>
      </c>
      <c r="F14" s="11" t="s">
        <v>40</v>
      </c>
      <c r="G14" s="15" t="n">
        <v>8</v>
      </c>
      <c r="H14" s="19" t="s">
        <v>101</v>
      </c>
    </row>
    <row r="15" customFormat="false" ht="60" hidden="false" customHeight="true" outlineLevel="0" collapsed="false">
      <c r="A15" s="13" t="s">
        <v>138</v>
      </c>
      <c r="B15" s="7" t="s">
        <v>45</v>
      </c>
      <c r="C15" s="18" t="str">
        <f aca="false">VLOOKUP(B15,Epics!$A:$B,2,0)</f>
        <v>Parcours d'apprentissage structurés</v>
      </c>
      <c r="D15" s="14" t="s">
        <v>139</v>
      </c>
      <c r="E15" s="14" t="s">
        <v>140</v>
      </c>
      <c r="F15" s="11" t="s">
        <v>40</v>
      </c>
      <c r="G15" s="15" t="n">
        <v>8</v>
      </c>
      <c r="H15" s="19" t="s">
        <v>101</v>
      </c>
    </row>
    <row r="16" customFormat="false" ht="60" hidden="false" customHeight="true" outlineLevel="0" collapsed="false">
      <c r="A16" s="13" t="s">
        <v>141</v>
      </c>
      <c r="B16" s="7" t="s">
        <v>45</v>
      </c>
      <c r="C16" s="18" t="str">
        <f aca="false">VLOOKUP(B16,Epics!$A:$B,2,0)</f>
        <v>Parcours d'apprentissage structurés</v>
      </c>
      <c r="D16" s="14" t="s">
        <v>142</v>
      </c>
      <c r="E16" s="14" t="s">
        <v>143</v>
      </c>
      <c r="F16" s="16" t="s">
        <v>65</v>
      </c>
      <c r="G16" s="15" t="n">
        <v>8</v>
      </c>
      <c r="H16" s="19" t="s">
        <v>101</v>
      </c>
    </row>
    <row r="17" customFormat="false" ht="60" hidden="false" customHeight="true" outlineLevel="0" collapsed="false">
      <c r="A17" s="13" t="s">
        <v>144</v>
      </c>
      <c r="B17" s="7" t="s">
        <v>45</v>
      </c>
      <c r="C17" s="18" t="str">
        <f aca="false">VLOOKUP(B17,Epics!$A:$B,2,0)</f>
        <v>Parcours d'apprentissage structurés</v>
      </c>
      <c r="D17" s="14" t="s">
        <v>145</v>
      </c>
      <c r="E17" s="14" t="s">
        <v>146</v>
      </c>
      <c r="F17" s="16" t="s">
        <v>65</v>
      </c>
      <c r="G17" s="15" t="n">
        <v>8</v>
      </c>
      <c r="H17" s="19" t="s">
        <v>101</v>
      </c>
    </row>
    <row r="18" customFormat="false" ht="60" hidden="false" customHeight="true" outlineLevel="0" collapsed="false">
      <c r="A18" s="13" t="s">
        <v>147</v>
      </c>
      <c r="B18" s="7" t="s">
        <v>45</v>
      </c>
      <c r="C18" s="18" t="str">
        <f aca="false">VLOOKUP(B18,Epics!$A:$B,2,0)</f>
        <v>Parcours d'apprentissage structurés</v>
      </c>
      <c r="D18" s="14" t="s">
        <v>148</v>
      </c>
      <c r="E18" s="14" t="s">
        <v>149</v>
      </c>
      <c r="F18" s="16" t="s">
        <v>65</v>
      </c>
      <c r="G18" s="15" t="n">
        <v>5</v>
      </c>
      <c r="H18" s="19" t="s">
        <v>101</v>
      </c>
    </row>
    <row r="19" customFormat="false" ht="60" hidden="false" customHeight="true" outlineLevel="0" collapsed="false">
      <c r="A19" s="13" t="s">
        <v>150</v>
      </c>
      <c r="B19" s="7" t="s">
        <v>45</v>
      </c>
      <c r="C19" s="18" t="str">
        <f aca="false">VLOOKUP(B19,Epics!$A:$B,2,0)</f>
        <v>Parcours d'apprentissage structurés</v>
      </c>
      <c r="D19" s="14" t="s">
        <v>151</v>
      </c>
      <c r="E19" s="14" t="s">
        <v>152</v>
      </c>
      <c r="F19" s="17" t="s">
        <v>78</v>
      </c>
      <c r="G19" s="15" t="n">
        <v>5</v>
      </c>
      <c r="H19" s="19" t="s">
        <v>101</v>
      </c>
    </row>
    <row r="20" customFormat="false" ht="60" hidden="false" customHeight="true" outlineLevel="0" collapsed="false">
      <c r="A20" s="13" t="s">
        <v>153</v>
      </c>
      <c r="B20" s="7" t="s">
        <v>45</v>
      </c>
      <c r="C20" s="18" t="str">
        <f aca="false">VLOOKUP(B20,Epics!$A:$B,2,0)</f>
        <v>Parcours d'apprentissage structurés</v>
      </c>
      <c r="D20" s="14" t="s">
        <v>154</v>
      </c>
      <c r="E20" s="14" t="s">
        <v>155</v>
      </c>
      <c r="F20" s="17" t="s">
        <v>78</v>
      </c>
      <c r="G20" s="15" t="n">
        <v>8</v>
      </c>
      <c r="H20" s="19" t="s">
        <v>101</v>
      </c>
    </row>
    <row r="21" customFormat="false" ht="60" hidden="false" customHeight="true" outlineLevel="0" collapsed="false">
      <c r="A21" s="13" t="s">
        <v>156</v>
      </c>
      <c r="B21" s="7" t="s">
        <v>49</v>
      </c>
      <c r="C21" s="18" t="str">
        <f aca="false">VLOOKUP(B21,Epics!$A:$B,2,0)</f>
        <v>Leçons interactives &amp; Contenu pédagogique</v>
      </c>
      <c r="D21" s="14" t="s">
        <v>157</v>
      </c>
      <c r="E21" s="14" t="s">
        <v>158</v>
      </c>
      <c r="F21" s="11" t="s">
        <v>40</v>
      </c>
      <c r="G21" s="15" t="n">
        <v>5</v>
      </c>
      <c r="H21" s="19" t="s">
        <v>101</v>
      </c>
    </row>
    <row r="22" customFormat="false" ht="60" hidden="false" customHeight="true" outlineLevel="0" collapsed="false">
      <c r="A22" s="13" t="s">
        <v>159</v>
      </c>
      <c r="B22" s="7" t="s">
        <v>49</v>
      </c>
      <c r="C22" s="18" t="str">
        <f aca="false">VLOOKUP(B22,Epics!$A:$B,2,0)</f>
        <v>Leçons interactives &amp; Contenu pédagogique</v>
      </c>
      <c r="D22" s="14" t="s">
        <v>160</v>
      </c>
      <c r="E22" s="14" t="s">
        <v>161</v>
      </c>
      <c r="F22" s="11" t="s">
        <v>40</v>
      </c>
      <c r="G22" s="15" t="n">
        <v>8</v>
      </c>
      <c r="H22" s="19" t="s">
        <v>101</v>
      </c>
    </row>
    <row r="23" customFormat="false" ht="60" hidden="false" customHeight="true" outlineLevel="0" collapsed="false">
      <c r="A23" s="13" t="s">
        <v>162</v>
      </c>
      <c r="B23" s="7" t="s">
        <v>49</v>
      </c>
      <c r="C23" s="18" t="str">
        <f aca="false">VLOOKUP(B23,Epics!$A:$B,2,0)</f>
        <v>Leçons interactives &amp; Contenu pédagogique</v>
      </c>
      <c r="D23" s="14" t="s">
        <v>163</v>
      </c>
      <c r="E23" s="14" t="s">
        <v>164</v>
      </c>
      <c r="F23" s="11" t="s">
        <v>40</v>
      </c>
      <c r="G23" s="15" t="n">
        <v>5</v>
      </c>
      <c r="H23" s="19" t="s">
        <v>101</v>
      </c>
    </row>
    <row r="24" customFormat="false" ht="60" hidden="false" customHeight="true" outlineLevel="0" collapsed="false">
      <c r="A24" s="13" t="s">
        <v>165</v>
      </c>
      <c r="B24" s="7" t="s">
        <v>49</v>
      </c>
      <c r="C24" s="18" t="str">
        <f aca="false">VLOOKUP(B24,Epics!$A:$B,2,0)</f>
        <v>Leçons interactives &amp; Contenu pédagogique</v>
      </c>
      <c r="D24" s="14" t="s">
        <v>166</v>
      </c>
      <c r="E24" s="14" t="s">
        <v>167</v>
      </c>
      <c r="F24" s="16" t="s">
        <v>65</v>
      </c>
      <c r="G24" s="15" t="n">
        <v>3</v>
      </c>
      <c r="H24" s="19" t="s">
        <v>101</v>
      </c>
    </row>
    <row r="25" customFormat="false" ht="60" hidden="false" customHeight="true" outlineLevel="0" collapsed="false">
      <c r="A25" s="13" t="s">
        <v>168</v>
      </c>
      <c r="B25" s="7" t="s">
        <v>49</v>
      </c>
      <c r="C25" s="18" t="str">
        <f aca="false">VLOOKUP(B25,Epics!$A:$B,2,0)</f>
        <v>Leçons interactives &amp; Contenu pédagogique</v>
      </c>
      <c r="D25" s="14" t="s">
        <v>169</v>
      </c>
      <c r="E25" s="14" t="s">
        <v>170</v>
      </c>
      <c r="F25" s="16" t="s">
        <v>65</v>
      </c>
      <c r="G25" s="15" t="n">
        <v>5</v>
      </c>
      <c r="H25" s="19" t="s">
        <v>101</v>
      </c>
    </row>
    <row r="26" customFormat="false" ht="60" hidden="false" customHeight="true" outlineLevel="0" collapsed="false">
      <c r="A26" s="13" t="s">
        <v>171</v>
      </c>
      <c r="B26" s="7" t="s">
        <v>49</v>
      </c>
      <c r="C26" s="18" t="str">
        <f aca="false">VLOOKUP(B26,Epics!$A:$B,2,0)</f>
        <v>Leçons interactives &amp; Contenu pédagogique</v>
      </c>
      <c r="D26" s="14" t="s">
        <v>172</v>
      </c>
      <c r="E26" s="14" t="s">
        <v>173</v>
      </c>
      <c r="F26" s="16" t="s">
        <v>65</v>
      </c>
      <c r="G26" s="15" t="n">
        <v>3</v>
      </c>
      <c r="H26" s="19" t="s">
        <v>101</v>
      </c>
    </row>
    <row r="27" customFormat="false" ht="60" hidden="false" customHeight="true" outlineLevel="0" collapsed="false">
      <c r="A27" s="13" t="s">
        <v>174</v>
      </c>
      <c r="B27" s="7" t="s">
        <v>53</v>
      </c>
      <c r="C27" s="18" t="str">
        <f aca="false">VLOOKUP(B27,Epics!$A:$B,2,0)</f>
        <v>IDE mobile intégré</v>
      </c>
      <c r="D27" s="14" t="s">
        <v>175</v>
      </c>
      <c r="E27" s="14" t="s">
        <v>176</v>
      </c>
      <c r="F27" s="11" t="s">
        <v>40</v>
      </c>
      <c r="G27" s="15" t="n">
        <v>8</v>
      </c>
      <c r="H27" s="19" t="s">
        <v>101</v>
      </c>
    </row>
    <row r="28" customFormat="false" ht="60" hidden="false" customHeight="true" outlineLevel="0" collapsed="false">
      <c r="A28" s="13" t="s">
        <v>177</v>
      </c>
      <c r="B28" s="7" t="s">
        <v>53</v>
      </c>
      <c r="C28" s="18" t="str">
        <f aca="false">VLOOKUP(B28,Epics!$A:$B,2,0)</f>
        <v>IDE mobile intégré</v>
      </c>
      <c r="D28" s="14" t="s">
        <v>178</v>
      </c>
      <c r="E28" s="14" t="s">
        <v>179</v>
      </c>
      <c r="F28" s="11" t="s">
        <v>40</v>
      </c>
      <c r="G28" s="15" t="n">
        <v>8</v>
      </c>
      <c r="H28" s="19" t="s">
        <v>101</v>
      </c>
    </row>
    <row r="29" customFormat="false" ht="60" hidden="false" customHeight="true" outlineLevel="0" collapsed="false">
      <c r="A29" s="13" t="s">
        <v>180</v>
      </c>
      <c r="B29" s="7" t="s">
        <v>53</v>
      </c>
      <c r="C29" s="18" t="str">
        <f aca="false">VLOOKUP(B29,Epics!$A:$B,2,0)</f>
        <v>IDE mobile intégré</v>
      </c>
      <c r="D29" s="14" t="s">
        <v>181</v>
      </c>
      <c r="E29" s="14" t="s">
        <v>182</v>
      </c>
      <c r="F29" s="11" t="s">
        <v>40</v>
      </c>
      <c r="G29" s="15" t="n">
        <v>5</v>
      </c>
      <c r="H29" s="19" t="s">
        <v>101</v>
      </c>
    </row>
    <row r="30" customFormat="false" ht="60" hidden="false" customHeight="true" outlineLevel="0" collapsed="false">
      <c r="A30" s="13" t="s">
        <v>183</v>
      </c>
      <c r="B30" s="7" t="s">
        <v>53</v>
      </c>
      <c r="C30" s="18" t="str">
        <f aca="false">VLOOKUP(B30,Epics!$A:$B,2,0)</f>
        <v>IDE mobile intégré</v>
      </c>
      <c r="D30" s="14" t="s">
        <v>184</v>
      </c>
      <c r="E30" s="14" t="s">
        <v>185</v>
      </c>
      <c r="F30" s="16" t="s">
        <v>65</v>
      </c>
      <c r="G30" s="15" t="n">
        <v>8</v>
      </c>
      <c r="H30" s="19" t="s">
        <v>101</v>
      </c>
    </row>
    <row r="31" customFormat="false" ht="60" hidden="false" customHeight="true" outlineLevel="0" collapsed="false">
      <c r="A31" s="13" t="s">
        <v>186</v>
      </c>
      <c r="B31" s="7" t="s">
        <v>53</v>
      </c>
      <c r="C31" s="18" t="str">
        <f aca="false">VLOOKUP(B31,Epics!$A:$B,2,0)</f>
        <v>IDE mobile intégré</v>
      </c>
      <c r="D31" s="14" t="s">
        <v>187</v>
      </c>
      <c r="E31" s="14" t="s">
        <v>188</v>
      </c>
      <c r="F31" s="11" t="s">
        <v>40</v>
      </c>
      <c r="G31" s="15" t="n">
        <v>3</v>
      </c>
      <c r="H31" s="19" t="s">
        <v>101</v>
      </c>
    </row>
    <row r="32" customFormat="false" ht="60" hidden="false" customHeight="true" outlineLevel="0" collapsed="false">
      <c r="A32" s="13" t="s">
        <v>189</v>
      </c>
      <c r="B32" s="7" t="s">
        <v>53</v>
      </c>
      <c r="C32" s="18" t="str">
        <f aca="false">VLOOKUP(B32,Epics!$A:$B,2,0)</f>
        <v>IDE mobile intégré</v>
      </c>
      <c r="D32" s="14" t="s">
        <v>190</v>
      </c>
      <c r="E32" s="14" t="s">
        <v>191</v>
      </c>
      <c r="F32" s="17" t="s">
        <v>78</v>
      </c>
      <c r="G32" s="15" t="n">
        <v>8</v>
      </c>
      <c r="H32" s="19" t="s">
        <v>101</v>
      </c>
    </row>
    <row r="33" customFormat="false" ht="60" hidden="false" customHeight="true" outlineLevel="0" collapsed="false">
      <c r="A33" s="13" t="s">
        <v>192</v>
      </c>
      <c r="B33" s="7" t="s">
        <v>57</v>
      </c>
      <c r="C33" s="18" t="str">
        <f aca="false">VLOOKUP(B33,Epics!$A:$B,2,0)</f>
        <v>Assistant IA pour le code</v>
      </c>
      <c r="D33" s="14" t="s">
        <v>193</v>
      </c>
      <c r="E33" s="14" t="s">
        <v>194</v>
      </c>
      <c r="F33" s="11" t="s">
        <v>40</v>
      </c>
      <c r="G33" s="15" t="n">
        <v>8</v>
      </c>
      <c r="H33" s="19" t="s">
        <v>101</v>
      </c>
    </row>
    <row r="34" customFormat="false" ht="60" hidden="false" customHeight="true" outlineLevel="0" collapsed="false">
      <c r="A34" s="13" t="s">
        <v>195</v>
      </c>
      <c r="B34" s="7" t="s">
        <v>57</v>
      </c>
      <c r="C34" s="18" t="str">
        <f aca="false">VLOOKUP(B34,Epics!$A:$B,2,0)</f>
        <v>Assistant IA pour le code</v>
      </c>
      <c r="D34" s="14" t="s">
        <v>196</v>
      </c>
      <c r="E34" s="14" t="s">
        <v>197</v>
      </c>
      <c r="F34" s="11" t="s">
        <v>40</v>
      </c>
      <c r="G34" s="15" t="n">
        <v>8</v>
      </c>
      <c r="H34" s="19" t="s">
        <v>101</v>
      </c>
    </row>
    <row r="35" customFormat="false" ht="60" hidden="false" customHeight="true" outlineLevel="0" collapsed="false">
      <c r="A35" s="13" t="s">
        <v>198</v>
      </c>
      <c r="B35" s="7" t="s">
        <v>57</v>
      </c>
      <c r="C35" s="18" t="str">
        <f aca="false">VLOOKUP(B35,Epics!$A:$B,2,0)</f>
        <v>Assistant IA pour le code</v>
      </c>
      <c r="D35" s="14" t="s">
        <v>199</v>
      </c>
      <c r="E35" s="14" t="s">
        <v>200</v>
      </c>
      <c r="F35" s="16" t="s">
        <v>65</v>
      </c>
      <c r="G35" s="15" t="n">
        <v>8</v>
      </c>
      <c r="H35" s="19" t="s">
        <v>101</v>
      </c>
    </row>
    <row r="36" customFormat="false" ht="60" hidden="false" customHeight="true" outlineLevel="0" collapsed="false">
      <c r="A36" s="13" t="s">
        <v>201</v>
      </c>
      <c r="B36" s="7" t="s">
        <v>57</v>
      </c>
      <c r="C36" s="18" t="str">
        <f aca="false">VLOOKUP(B36,Epics!$A:$B,2,0)</f>
        <v>Assistant IA pour le code</v>
      </c>
      <c r="D36" s="14" t="s">
        <v>202</v>
      </c>
      <c r="E36" s="14" t="s">
        <v>203</v>
      </c>
      <c r="F36" s="11" t="s">
        <v>40</v>
      </c>
      <c r="G36" s="15" t="n">
        <v>5</v>
      </c>
      <c r="H36" s="19" t="s">
        <v>101</v>
      </c>
    </row>
    <row r="37" customFormat="false" ht="60" hidden="false" customHeight="true" outlineLevel="0" collapsed="false">
      <c r="A37" s="13" t="s">
        <v>204</v>
      </c>
      <c r="B37" s="7" t="s">
        <v>57</v>
      </c>
      <c r="C37" s="18" t="str">
        <f aca="false">VLOOKUP(B37,Epics!$A:$B,2,0)</f>
        <v>Assistant IA pour le code</v>
      </c>
      <c r="D37" s="14" t="s">
        <v>205</v>
      </c>
      <c r="E37" s="14" t="s">
        <v>206</v>
      </c>
      <c r="F37" s="16" t="s">
        <v>65</v>
      </c>
      <c r="G37" s="15" t="n">
        <v>8</v>
      </c>
      <c r="H37" s="19" t="s">
        <v>101</v>
      </c>
    </row>
    <row r="38" customFormat="false" ht="60" hidden="false" customHeight="true" outlineLevel="0" collapsed="false">
      <c r="A38" s="13" t="s">
        <v>207</v>
      </c>
      <c r="B38" s="7" t="s">
        <v>57</v>
      </c>
      <c r="C38" s="18" t="str">
        <f aca="false">VLOOKUP(B38,Epics!$A:$B,2,0)</f>
        <v>Assistant IA pour le code</v>
      </c>
      <c r="D38" s="14" t="s">
        <v>208</v>
      </c>
      <c r="E38" s="14" t="s">
        <v>209</v>
      </c>
      <c r="F38" s="11" t="s">
        <v>40</v>
      </c>
      <c r="G38" s="15" t="n">
        <v>8</v>
      </c>
      <c r="H38" s="19" t="s">
        <v>101</v>
      </c>
    </row>
    <row r="39" customFormat="false" ht="60" hidden="false" customHeight="true" outlineLevel="0" collapsed="false">
      <c r="A39" s="13" t="s">
        <v>210</v>
      </c>
      <c r="B39" s="7" t="s">
        <v>61</v>
      </c>
      <c r="C39" s="18" t="str">
        <f aca="false">VLOOKUP(B39,Epics!$A:$B,2,0)</f>
        <v>Projets &amp; Portfolio</v>
      </c>
      <c r="D39" s="14" t="s">
        <v>211</v>
      </c>
      <c r="E39" s="14" t="s">
        <v>212</v>
      </c>
      <c r="F39" s="11" t="s">
        <v>40</v>
      </c>
      <c r="G39" s="15" t="n">
        <v>8</v>
      </c>
      <c r="H39" s="19" t="s">
        <v>101</v>
      </c>
    </row>
    <row r="40" customFormat="false" ht="60" hidden="false" customHeight="true" outlineLevel="0" collapsed="false">
      <c r="A40" s="13" t="s">
        <v>213</v>
      </c>
      <c r="B40" s="7" t="s">
        <v>61</v>
      </c>
      <c r="C40" s="18" t="str">
        <f aca="false">VLOOKUP(B40,Epics!$A:$B,2,0)</f>
        <v>Projets &amp; Portfolio</v>
      </c>
      <c r="D40" s="14" t="s">
        <v>214</v>
      </c>
      <c r="E40" s="14" t="s">
        <v>215</v>
      </c>
      <c r="F40" s="16" t="s">
        <v>65</v>
      </c>
      <c r="G40" s="15" t="n">
        <v>5</v>
      </c>
      <c r="H40" s="19" t="s">
        <v>101</v>
      </c>
    </row>
    <row r="41" customFormat="false" ht="60" hidden="false" customHeight="true" outlineLevel="0" collapsed="false">
      <c r="A41" s="13" t="s">
        <v>216</v>
      </c>
      <c r="B41" s="7" t="s">
        <v>61</v>
      </c>
      <c r="C41" s="18" t="str">
        <f aca="false">VLOOKUP(B41,Epics!$A:$B,2,0)</f>
        <v>Projets &amp; Portfolio</v>
      </c>
      <c r="D41" s="14" t="s">
        <v>217</v>
      </c>
      <c r="E41" s="14" t="s">
        <v>218</v>
      </c>
      <c r="F41" s="17" t="s">
        <v>78</v>
      </c>
      <c r="G41" s="15" t="n">
        <v>5</v>
      </c>
      <c r="H41" s="19" t="s">
        <v>101</v>
      </c>
    </row>
    <row r="42" customFormat="false" ht="60" hidden="false" customHeight="true" outlineLevel="0" collapsed="false">
      <c r="A42" s="13" t="s">
        <v>219</v>
      </c>
      <c r="B42" s="7" t="s">
        <v>61</v>
      </c>
      <c r="C42" s="18" t="str">
        <f aca="false">VLOOKUP(B42,Epics!$A:$B,2,0)</f>
        <v>Projets &amp; Portfolio</v>
      </c>
      <c r="D42" s="14" t="s">
        <v>220</v>
      </c>
      <c r="E42" s="14" t="s">
        <v>221</v>
      </c>
      <c r="F42" s="17" t="s">
        <v>78</v>
      </c>
      <c r="G42" s="15" t="n">
        <v>3</v>
      </c>
      <c r="H42" s="19" t="s">
        <v>101</v>
      </c>
    </row>
    <row r="43" customFormat="false" ht="60" hidden="false" customHeight="true" outlineLevel="0" collapsed="false">
      <c r="A43" s="13" t="s">
        <v>222</v>
      </c>
      <c r="B43" s="7" t="s">
        <v>61</v>
      </c>
      <c r="C43" s="18" t="str">
        <f aca="false">VLOOKUP(B43,Epics!$A:$B,2,0)</f>
        <v>Projets &amp; Portfolio</v>
      </c>
      <c r="D43" s="14" t="s">
        <v>223</v>
      </c>
      <c r="E43" s="14" t="s">
        <v>224</v>
      </c>
      <c r="F43" s="16" t="s">
        <v>65</v>
      </c>
      <c r="G43" s="15" t="n">
        <v>8</v>
      </c>
      <c r="H43" s="19" t="s">
        <v>101</v>
      </c>
    </row>
    <row r="44" customFormat="false" ht="60" hidden="false" customHeight="true" outlineLevel="0" collapsed="false">
      <c r="A44" s="13" t="s">
        <v>225</v>
      </c>
      <c r="B44" s="7" t="s">
        <v>66</v>
      </c>
      <c r="C44" s="18" t="str">
        <f aca="false">VLOOKUP(B44,Epics!$A:$B,2,0)</f>
        <v>Gamification &amp; Motivation</v>
      </c>
      <c r="D44" s="14" t="s">
        <v>226</v>
      </c>
      <c r="E44" s="14" t="s">
        <v>227</v>
      </c>
      <c r="F44" s="11" t="s">
        <v>40</v>
      </c>
      <c r="G44" s="15" t="n">
        <v>5</v>
      </c>
      <c r="H44" s="19" t="s">
        <v>101</v>
      </c>
    </row>
    <row r="45" customFormat="false" ht="60" hidden="false" customHeight="true" outlineLevel="0" collapsed="false">
      <c r="A45" s="13" t="s">
        <v>228</v>
      </c>
      <c r="B45" s="7" t="s">
        <v>66</v>
      </c>
      <c r="C45" s="18" t="str">
        <f aca="false">VLOOKUP(B45,Epics!$A:$B,2,0)</f>
        <v>Gamification &amp; Motivation</v>
      </c>
      <c r="D45" s="14" t="s">
        <v>229</v>
      </c>
      <c r="E45" s="14" t="s">
        <v>230</v>
      </c>
      <c r="F45" s="16" t="s">
        <v>65</v>
      </c>
      <c r="G45" s="15" t="n">
        <v>5</v>
      </c>
      <c r="H45" s="19" t="s">
        <v>101</v>
      </c>
    </row>
    <row r="46" customFormat="false" ht="60" hidden="false" customHeight="true" outlineLevel="0" collapsed="false">
      <c r="A46" s="13" t="s">
        <v>231</v>
      </c>
      <c r="B46" s="7" t="s">
        <v>66</v>
      </c>
      <c r="C46" s="18" t="str">
        <f aca="false">VLOOKUP(B46,Epics!$A:$B,2,0)</f>
        <v>Gamification &amp; Motivation</v>
      </c>
      <c r="D46" s="14" t="s">
        <v>232</v>
      </c>
      <c r="E46" s="14" t="s">
        <v>233</v>
      </c>
      <c r="F46" s="16" t="s">
        <v>65</v>
      </c>
      <c r="G46" s="15" t="n">
        <v>5</v>
      </c>
      <c r="H46" s="19" t="s">
        <v>101</v>
      </c>
    </row>
    <row r="47" customFormat="false" ht="60" hidden="false" customHeight="true" outlineLevel="0" collapsed="false">
      <c r="A47" s="13" t="s">
        <v>234</v>
      </c>
      <c r="B47" s="7" t="s">
        <v>66</v>
      </c>
      <c r="C47" s="18" t="str">
        <f aca="false">VLOOKUP(B47,Epics!$A:$B,2,0)</f>
        <v>Gamification &amp; Motivation</v>
      </c>
      <c r="D47" s="14" t="s">
        <v>235</v>
      </c>
      <c r="E47" s="14" t="s">
        <v>236</v>
      </c>
      <c r="F47" s="17" t="s">
        <v>78</v>
      </c>
      <c r="G47" s="15" t="n">
        <v>5</v>
      </c>
      <c r="H47" s="19" t="s">
        <v>101</v>
      </c>
    </row>
    <row r="48" customFormat="false" ht="60" hidden="false" customHeight="true" outlineLevel="0" collapsed="false">
      <c r="A48" s="13" t="s">
        <v>237</v>
      </c>
      <c r="B48" s="7" t="s">
        <v>66</v>
      </c>
      <c r="C48" s="18" t="str">
        <f aca="false">VLOOKUP(B48,Epics!$A:$B,2,0)</f>
        <v>Gamification &amp; Motivation</v>
      </c>
      <c r="D48" s="14" t="s">
        <v>238</v>
      </c>
      <c r="E48" s="14" t="s">
        <v>239</v>
      </c>
      <c r="F48" s="16" t="s">
        <v>65</v>
      </c>
      <c r="G48" s="15" t="n">
        <v>5</v>
      </c>
      <c r="H48" s="19" t="s">
        <v>101</v>
      </c>
    </row>
    <row r="49" customFormat="false" ht="60" hidden="false" customHeight="true" outlineLevel="0" collapsed="false">
      <c r="A49" s="13" t="s">
        <v>240</v>
      </c>
      <c r="B49" s="7" t="s">
        <v>66</v>
      </c>
      <c r="C49" s="18" t="str">
        <f aca="false">VLOOKUP(B49,Epics!$A:$B,2,0)</f>
        <v>Gamification &amp; Motivation</v>
      </c>
      <c r="D49" s="14" t="s">
        <v>241</v>
      </c>
      <c r="E49" s="14" t="s">
        <v>242</v>
      </c>
      <c r="F49" s="16" t="s">
        <v>65</v>
      </c>
      <c r="G49" s="15" t="n">
        <v>3</v>
      </c>
      <c r="H49" s="19" t="s">
        <v>101</v>
      </c>
    </row>
    <row r="50" customFormat="false" ht="60" hidden="false" customHeight="true" outlineLevel="0" collapsed="false">
      <c r="A50" s="13" t="s">
        <v>243</v>
      </c>
      <c r="B50" s="7" t="s">
        <v>70</v>
      </c>
      <c r="C50" s="18" t="str">
        <f aca="false">VLOOKUP(B50,Epics!$A:$B,2,0)</f>
        <v>Suivi de progression &amp; Tableau de bord</v>
      </c>
      <c r="D50" s="14" t="s">
        <v>244</v>
      </c>
      <c r="E50" s="14" t="s">
        <v>245</v>
      </c>
      <c r="F50" s="11" t="s">
        <v>40</v>
      </c>
      <c r="G50" s="15" t="n">
        <v>5</v>
      </c>
      <c r="H50" s="19" t="s">
        <v>101</v>
      </c>
    </row>
    <row r="51" customFormat="false" ht="60" hidden="false" customHeight="true" outlineLevel="0" collapsed="false">
      <c r="A51" s="13" t="s">
        <v>246</v>
      </c>
      <c r="B51" s="7" t="s">
        <v>70</v>
      </c>
      <c r="C51" s="18" t="str">
        <f aca="false">VLOOKUP(B51,Epics!$A:$B,2,0)</f>
        <v>Suivi de progression &amp; Tableau de bord</v>
      </c>
      <c r="D51" s="14" t="s">
        <v>247</v>
      </c>
      <c r="E51" s="14" t="s">
        <v>248</v>
      </c>
      <c r="F51" s="17" t="s">
        <v>78</v>
      </c>
      <c r="G51" s="15" t="n">
        <v>5</v>
      </c>
      <c r="H51" s="19" t="s">
        <v>101</v>
      </c>
    </row>
    <row r="52" customFormat="false" ht="60" hidden="false" customHeight="true" outlineLevel="0" collapsed="false">
      <c r="A52" s="13" t="s">
        <v>249</v>
      </c>
      <c r="B52" s="7" t="s">
        <v>70</v>
      </c>
      <c r="C52" s="18" t="str">
        <f aca="false">VLOOKUP(B52,Epics!$A:$B,2,0)</f>
        <v>Suivi de progression &amp; Tableau de bord</v>
      </c>
      <c r="D52" s="14" t="s">
        <v>250</v>
      </c>
      <c r="E52" s="14" t="s">
        <v>251</v>
      </c>
      <c r="F52" s="16" t="s">
        <v>65</v>
      </c>
      <c r="G52" s="15" t="n">
        <v>8</v>
      </c>
      <c r="H52" s="19" t="s">
        <v>101</v>
      </c>
    </row>
    <row r="53" customFormat="false" ht="60" hidden="false" customHeight="true" outlineLevel="0" collapsed="false">
      <c r="A53" s="13" t="s">
        <v>252</v>
      </c>
      <c r="B53" s="7" t="s">
        <v>70</v>
      </c>
      <c r="C53" s="18" t="str">
        <f aca="false">VLOOKUP(B53,Epics!$A:$B,2,0)</f>
        <v>Suivi de progression &amp; Tableau de bord</v>
      </c>
      <c r="D53" s="14" t="s">
        <v>253</v>
      </c>
      <c r="E53" s="14" t="s">
        <v>254</v>
      </c>
      <c r="F53" s="17" t="s">
        <v>78</v>
      </c>
      <c r="G53" s="15" t="n">
        <v>5</v>
      </c>
      <c r="H53" s="19" t="s">
        <v>101</v>
      </c>
    </row>
    <row r="54" customFormat="false" ht="60" hidden="false" customHeight="true" outlineLevel="0" collapsed="false">
      <c r="A54" s="13" t="s">
        <v>255</v>
      </c>
      <c r="B54" s="7" t="s">
        <v>74</v>
      </c>
      <c r="C54" s="18" t="str">
        <f aca="false">VLOOKUP(B54,Epics!$A:$B,2,0)</f>
        <v>Collaboration &amp; Outils développeurs modernes</v>
      </c>
      <c r="D54" s="14" t="s">
        <v>256</v>
      </c>
      <c r="E54" s="14" t="s">
        <v>257</v>
      </c>
      <c r="F54" s="16" t="s">
        <v>65</v>
      </c>
      <c r="G54" s="15" t="n">
        <v>8</v>
      </c>
      <c r="H54" s="19" t="s">
        <v>101</v>
      </c>
    </row>
    <row r="55" customFormat="false" ht="60" hidden="false" customHeight="true" outlineLevel="0" collapsed="false">
      <c r="A55" s="13" t="s">
        <v>258</v>
      </c>
      <c r="B55" s="7" t="s">
        <v>74</v>
      </c>
      <c r="C55" s="18" t="str">
        <f aca="false">VLOOKUP(B55,Epics!$A:$B,2,0)</f>
        <v>Collaboration &amp; Outils développeurs modernes</v>
      </c>
      <c r="D55" s="14" t="s">
        <v>259</v>
      </c>
      <c r="E55" s="14" t="s">
        <v>260</v>
      </c>
      <c r="F55" s="17" t="s">
        <v>78</v>
      </c>
      <c r="G55" s="15" t="n">
        <v>8</v>
      </c>
      <c r="H55" s="19" t="s">
        <v>101</v>
      </c>
    </row>
    <row r="56" customFormat="false" ht="60" hidden="false" customHeight="true" outlineLevel="0" collapsed="false">
      <c r="A56" s="13" t="s">
        <v>261</v>
      </c>
      <c r="B56" s="7" t="s">
        <v>74</v>
      </c>
      <c r="C56" s="18" t="str">
        <f aca="false">VLOOKUP(B56,Epics!$A:$B,2,0)</f>
        <v>Collaboration &amp; Outils développeurs modernes</v>
      </c>
      <c r="D56" s="14" t="s">
        <v>262</v>
      </c>
      <c r="E56" s="14" t="s">
        <v>263</v>
      </c>
      <c r="F56" s="17" t="s">
        <v>78</v>
      </c>
      <c r="G56" s="15" t="n">
        <v>5</v>
      </c>
      <c r="H56" s="19" t="s">
        <v>101</v>
      </c>
    </row>
    <row r="57" customFormat="false" ht="60" hidden="false" customHeight="true" outlineLevel="0" collapsed="false">
      <c r="A57" s="13" t="s">
        <v>264</v>
      </c>
      <c r="B57" s="7" t="s">
        <v>74</v>
      </c>
      <c r="C57" s="18" t="str">
        <f aca="false">VLOOKUP(B57,Epics!$A:$B,2,0)</f>
        <v>Collaboration &amp; Outils développeurs modernes</v>
      </c>
      <c r="D57" s="14" t="s">
        <v>265</v>
      </c>
      <c r="E57" s="14" t="s">
        <v>266</v>
      </c>
      <c r="F57" s="17" t="s">
        <v>78</v>
      </c>
      <c r="G57" s="15" t="n">
        <v>8</v>
      </c>
      <c r="H57" s="19" t="s">
        <v>101</v>
      </c>
    </row>
    <row r="58" customFormat="false" ht="60" hidden="false" customHeight="true" outlineLevel="0" collapsed="false">
      <c r="A58" s="13" t="s">
        <v>267</v>
      </c>
      <c r="B58" s="7" t="s">
        <v>79</v>
      </c>
      <c r="C58" s="18" t="str">
        <f aca="false">VLOOKUP(B58,Epics!$A:$B,2,0)</f>
        <v>Notifications &amp; Rappels</v>
      </c>
      <c r="D58" s="14" t="s">
        <v>268</v>
      </c>
      <c r="E58" s="14" t="s">
        <v>269</v>
      </c>
      <c r="F58" s="11" t="s">
        <v>40</v>
      </c>
      <c r="G58" s="15" t="n">
        <v>3</v>
      </c>
      <c r="H58" s="19" t="s">
        <v>101</v>
      </c>
    </row>
    <row r="59" customFormat="false" ht="60" hidden="false" customHeight="true" outlineLevel="0" collapsed="false">
      <c r="A59" s="13" t="s">
        <v>270</v>
      </c>
      <c r="B59" s="7" t="s">
        <v>79</v>
      </c>
      <c r="C59" s="18" t="str">
        <f aca="false">VLOOKUP(B59,Epics!$A:$B,2,0)</f>
        <v>Notifications &amp; Rappels</v>
      </c>
      <c r="D59" s="14" t="s">
        <v>271</v>
      </c>
      <c r="E59" s="14" t="s">
        <v>272</v>
      </c>
      <c r="F59" s="16" t="s">
        <v>65</v>
      </c>
      <c r="G59" s="15" t="n">
        <v>3</v>
      </c>
      <c r="H59" s="19" t="s">
        <v>101</v>
      </c>
    </row>
    <row r="60" customFormat="false" ht="60" hidden="false" customHeight="true" outlineLevel="0" collapsed="false">
      <c r="A60" s="13" t="s">
        <v>273</v>
      </c>
      <c r="B60" s="7" t="s">
        <v>79</v>
      </c>
      <c r="C60" s="18" t="str">
        <f aca="false">VLOOKUP(B60,Epics!$A:$B,2,0)</f>
        <v>Notifications &amp; Rappels</v>
      </c>
      <c r="D60" s="14" t="s">
        <v>274</v>
      </c>
      <c r="E60" s="14" t="s">
        <v>275</v>
      </c>
      <c r="F60" s="16" t="s">
        <v>65</v>
      </c>
      <c r="G60" s="15" t="n">
        <v>3</v>
      </c>
      <c r="H60" s="19" t="s">
        <v>101</v>
      </c>
    </row>
    <row r="61" customFormat="false" ht="60" hidden="false" customHeight="true" outlineLevel="0" collapsed="false">
      <c r="A61" s="13" t="s">
        <v>276</v>
      </c>
      <c r="B61" s="7" t="s">
        <v>83</v>
      </c>
      <c r="C61" s="18" t="str">
        <f aca="false">VLOOKUP(B61,Epics!$A:$B,2,0)</f>
        <v>Administration &amp; Gestion de contenu (back-office)</v>
      </c>
      <c r="D61" s="14" t="s">
        <v>277</v>
      </c>
      <c r="E61" s="14" t="s">
        <v>278</v>
      </c>
      <c r="F61" s="11" t="s">
        <v>40</v>
      </c>
      <c r="G61" s="15" t="n">
        <v>8</v>
      </c>
      <c r="H61" s="19" t="s">
        <v>101</v>
      </c>
    </row>
    <row r="62" customFormat="false" ht="60" hidden="false" customHeight="true" outlineLevel="0" collapsed="false">
      <c r="A62" s="13" t="s">
        <v>279</v>
      </c>
      <c r="B62" s="7" t="s">
        <v>83</v>
      </c>
      <c r="C62" s="18" t="str">
        <f aca="false">VLOOKUP(B62,Epics!$A:$B,2,0)</f>
        <v>Administration &amp; Gestion de contenu (back-office)</v>
      </c>
      <c r="D62" s="14" t="s">
        <v>280</v>
      </c>
      <c r="E62" s="14" t="s">
        <v>281</v>
      </c>
      <c r="F62" s="11" t="s">
        <v>40</v>
      </c>
      <c r="G62" s="15" t="n">
        <v>8</v>
      </c>
      <c r="H62" s="19" t="s">
        <v>101</v>
      </c>
    </row>
    <row r="63" customFormat="false" ht="60" hidden="false" customHeight="true" outlineLevel="0" collapsed="false">
      <c r="A63" s="13" t="s">
        <v>282</v>
      </c>
      <c r="B63" s="7" t="s">
        <v>83</v>
      </c>
      <c r="C63" s="18" t="str">
        <f aca="false">VLOOKUP(B63,Epics!$A:$B,2,0)</f>
        <v>Administration &amp; Gestion de contenu (back-office)</v>
      </c>
      <c r="D63" s="14" t="s">
        <v>283</v>
      </c>
      <c r="E63" s="14" t="s">
        <v>284</v>
      </c>
      <c r="F63" s="16" t="s">
        <v>65</v>
      </c>
      <c r="G63" s="15" t="n">
        <v>8</v>
      </c>
      <c r="H63" s="19" t="s">
        <v>101</v>
      </c>
    </row>
    <row r="64" customFormat="false" ht="60" hidden="false" customHeight="true" outlineLevel="0" collapsed="false">
      <c r="A64" s="13" t="s">
        <v>285</v>
      </c>
      <c r="B64" s="7" t="s">
        <v>83</v>
      </c>
      <c r="C64" s="18" t="str">
        <f aca="false">VLOOKUP(B64,Epics!$A:$B,2,0)</f>
        <v>Administration &amp; Gestion de contenu (back-office)</v>
      </c>
      <c r="D64" s="14" t="s">
        <v>286</v>
      </c>
      <c r="E64" s="14" t="s">
        <v>287</v>
      </c>
      <c r="F64" s="16" t="s">
        <v>65</v>
      </c>
      <c r="G64" s="15" t="n">
        <v>5</v>
      </c>
      <c r="H64" s="19" t="s">
        <v>101</v>
      </c>
    </row>
    <row r="65" customFormat="false" ht="60" hidden="false" customHeight="true" outlineLevel="0" collapsed="false">
      <c r="A65" s="13" t="s">
        <v>288</v>
      </c>
      <c r="B65" s="7" t="s">
        <v>87</v>
      </c>
      <c r="C65" s="18" t="str">
        <f aca="false">VLOOKUP(B65,Epics!$A:$B,2,0)</f>
        <v>Paramètres, Accessibilité &amp; Multi-langue</v>
      </c>
      <c r="D65" s="14" t="s">
        <v>289</v>
      </c>
      <c r="E65" s="14" t="s">
        <v>290</v>
      </c>
      <c r="F65" s="16" t="s">
        <v>65</v>
      </c>
      <c r="G65" s="15" t="n">
        <v>8</v>
      </c>
      <c r="H65" s="19" t="s">
        <v>101</v>
      </c>
    </row>
    <row r="66" customFormat="false" ht="60" hidden="false" customHeight="true" outlineLevel="0" collapsed="false">
      <c r="A66" s="13" t="s">
        <v>291</v>
      </c>
      <c r="B66" s="7" t="s">
        <v>87</v>
      </c>
      <c r="C66" s="18" t="str">
        <f aca="false">VLOOKUP(B66,Epics!$A:$B,2,0)</f>
        <v>Paramètres, Accessibilité &amp; Multi-langue</v>
      </c>
      <c r="D66" s="14" t="s">
        <v>292</v>
      </c>
      <c r="E66" s="14" t="s">
        <v>293</v>
      </c>
      <c r="F66" s="17" t="s">
        <v>78</v>
      </c>
      <c r="G66" s="15" t="n">
        <v>3</v>
      </c>
      <c r="H66" s="19" t="s">
        <v>101</v>
      </c>
    </row>
    <row r="67" customFormat="false" ht="60" hidden="false" customHeight="true" outlineLevel="0" collapsed="false">
      <c r="A67" s="13" t="s">
        <v>294</v>
      </c>
      <c r="B67" s="7" t="s">
        <v>87</v>
      </c>
      <c r="C67" s="18" t="str">
        <f aca="false">VLOOKUP(B67,Epics!$A:$B,2,0)</f>
        <v>Paramètres, Accessibilité &amp; Multi-langue</v>
      </c>
      <c r="D67" s="14" t="s">
        <v>295</v>
      </c>
      <c r="E67" s="14" t="s">
        <v>296</v>
      </c>
      <c r="F67" s="17" t="s">
        <v>78</v>
      </c>
      <c r="G67" s="15" t="n">
        <v>8</v>
      </c>
      <c r="H67" s="19" t="s">
        <v>101</v>
      </c>
    </row>
  </sheetData>
  <dataValidations count="2">
    <dataValidation allowBlank="false" errorStyle="stop" operator="between" showDropDown="false" showErrorMessage="false" showInputMessage="false" sqref="H2:H67" type="list">
      <formula1>"À faire,En cours,Terminé,Bloqué"</formula1>
      <formula2>0</formula2>
    </dataValidation>
    <dataValidation allowBlank="false" errorStyle="stop" operator="between" showDropDown="false" showErrorMessage="false" showInputMessage="false" sqref="F2:F67" type="list">
      <formula1>"Must,Should,Could,Won't"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2026-09-14T18:05:21Z</dcterms:created>
  <dc:creator>openpyxl</dc:creator>
  <dc:description/>
  <dc:language>en-US</dc:language>
  <cp:lastModifiedBy/>
  <dcterms:modified xsi:type="dcterms:W3CDTF">2026-09-14T18:05:21Z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